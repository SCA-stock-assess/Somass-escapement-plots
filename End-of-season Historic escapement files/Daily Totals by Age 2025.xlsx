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pivotTables/pivotTable2.xml" ContentType="application/vnd.openxmlformats-officedocument.spreadsheetml.pivot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Users\POURFARAJV\Documents\GitHub\Somass-escapement-plots\End-of-season Historic escapement files\"/>
    </mc:Choice>
  </mc:AlternateContent>
  <xr:revisionPtr revIDLastSave="0" documentId="13_ncr:1_{05B5DF35-F8B0-41AB-A2A6-E2606ED98524}" xr6:coauthVersionLast="47" xr6:coauthVersionMax="47" xr10:uidLastSave="{00000000-0000-0000-0000-000000000000}"/>
  <bookViews>
    <workbookView xWindow="0" yWindow="432" windowWidth="21660" windowHeight="11268" activeTab="3" xr2:uid="{00000000-000D-0000-FFFF-FFFF00000000}"/>
  </bookViews>
  <sheets>
    <sheet name="Sproat" sheetId="1" r:id="rId1"/>
    <sheet name="Stamp" sheetId="2" r:id="rId2"/>
    <sheet name=" Sproat CN&amp;CO" sheetId="3" r:id="rId3"/>
    <sheet name="Stamp CN&amp;CO" sheetId="4" r:id="rId4"/>
    <sheet name="SW-LU" sheetId="5" r:id="rId5"/>
  </sheets>
  <calcPr calcId="191029"/>
  <pivotCaches>
    <pivotCache cacheId="0" r:id="rId6"/>
    <pivotCache cacheId="1" r:id="rId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L2" i="1" l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" i="2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170" i="2"/>
  <c r="L171" i="2"/>
  <c r="L172" i="2"/>
  <c r="L173" i="2"/>
  <c r="L174" i="2"/>
  <c r="L175" i="2"/>
  <c r="L176" i="2"/>
  <c r="L177" i="2"/>
  <c r="L178" i="2"/>
  <c r="L179" i="2"/>
  <c r="L180" i="2"/>
  <c r="L181" i="2"/>
  <c r="L182" i="2"/>
  <c r="L183" i="2"/>
  <c r="L184" i="2"/>
  <c r="L185" i="2"/>
  <c r="L186" i="2"/>
  <c r="L187" i="2"/>
  <c r="L188" i="2"/>
  <c r="L189" i="2"/>
  <c r="L190" i="2"/>
  <c r="L191" i="2"/>
  <c r="L192" i="2"/>
  <c r="L193" i="2"/>
  <c r="L194" i="2"/>
  <c r="L195" i="2"/>
  <c r="L196" i="2"/>
  <c r="L197" i="2"/>
  <c r="L198" i="2"/>
  <c r="L199" i="2"/>
  <c r="L200" i="2"/>
  <c r="L201" i="2"/>
  <c r="L202" i="2"/>
  <c r="L203" i="2"/>
  <c r="L204" i="2"/>
  <c r="L205" i="2"/>
  <c r="L206" i="2"/>
  <c r="L207" i="2"/>
  <c r="L208" i="2"/>
</calcChain>
</file>

<file path=xl/sharedStrings.xml><?xml version="1.0" encoding="utf-8"?>
<sst xmlns="http://schemas.openxmlformats.org/spreadsheetml/2006/main" count="96" uniqueCount="64">
  <si>
    <t>Adult</t>
  </si>
  <si>
    <t>Jack</t>
  </si>
  <si>
    <t>Date</t>
  </si>
  <si>
    <t>Coho</t>
  </si>
  <si>
    <t>Coho Jack</t>
  </si>
  <si>
    <t>Pink</t>
  </si>
  <si>
    <t>Chum</t>
  </si>
  <si>
    <t>Chinook</t>
  </si>
  <si>
    <t>Chinook Jack</t>
  </si>
  <si>
    <t>Steelhead</t>
  </si>
  <si>
    <t>Rainbow</t>
  </si>
  <si>
    <t>Adults</t>
  </si>
  <si>
    <t>Jacks</t>
  </si>
  <si>
    <t>Sk  Unk</t>
  </si>
  <si>
    <t>Sk  NoMark</t>
  </si>
  <si>
    <t>Sk  Mark</t>
  </si>
  <si>
    <t>SkJk  Unk</t>
  </si>
  <si>
    <t>SkJk  NoMark</t>
  </si>
  <si>
    <t>SkJk  Mark</t>
  </si>
  <si>
    <t>Co  Unk</t>
  </si>
  <si>
    <t>Co  NoMark</t>
  </si>
  <si>
    <t>Co  Mark</t>
  </si>
  <si>
    <t>CoJk  Unk</t>
  </si>
  <si>
    <t>CoJk  NoMark</t>
  </si>
  <si>
    <t>CoJk  Mark</t>
  </si>
  <si>
    <t>Pk  Unk</t>
  </si>
  <si>
    <t>Pk  NoMark</t>
  </si>
  <si>
    <t>Pk  Mark</t>
  </si>
  <si>
    <t>Cm  Unk</t>
  </si>
  <si>
    <t>Cm  NoMark</t>
  </si>
  <si>
    <t>Cm  Mark</t>
  </si>
  <si>
    <t>Cn  Unk</t>
  </si>
  <si>
    <t>Cn  NoMark</t>
  </si>
  <si>
    <t>Cn  Mark</t>
  </si>
  <si>
    <t>CnJk  Unk</t>
  </si>
  <si>
    <t>CnJk  NoMark</t>
  </si>
  <si>
    <t>CnJk  Mark</t>
  </si>
  <si>
    <t>Stlh  Unk</t>
  </si>
  <si>
    <t>Stlh  NoMark</t>
  </si>
  <si>
    <t>Stlh  Mark</t>
  </si>
  <si>
    <t>Rain  Unk</t>
  </si>
  <si>
    <t>Rain  NoMark</t>
  </si>
  <si>
    <t>Rain  Mark</t>
  </si>
  <si>
    <t>Statweek</t>
  </si>
  <si>
    <t>Julian</t>
  </si>
  <si>
    <t>Stat week</t>
  </si>
  <si>
    <t>32</t>
  </si>
  <si>
    <t>42</t>
  </si>
  <si>
    <t>43</t>
  </si>
  <si>
    <t>52</t>
  </si>
  <si>
    <t>53</t>
  </si>
  <si>
    <t>62</t>
  </si>
  <si>
    <t>63</t>
  </si>
  <si>
    <t>64</t>
  </si>
  <si>
    <t>Sum of 32</t>
  </si>
  <si>
    <t>Grand Total</t>
  </si>
  <si>
    <t>Sum of 52</t>
  </si>
  <si>
    <t>Sum of 53</t>
  </si>
  <si>
    <t>Sum of 62</t>
  </si>
  <si>
    <t>Sum of 63</t>
  </si>
  <si>
    <t>Sum of 64</t>
  </si>
  <si>
    <t>Row Labels</t>
  </si>
  <si>
    <t>Sum of 42</t>
  </si>
  <si>
    <t>Sum of 43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</si>
</sst>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;@"/>
  </numFmts>
  <fonts count="2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59999389629810485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0" xfId="0" applyAlignment="1">
      <alignment vertical="center" wrapText="1"/>
    </xf>
    <xf numFmtId="0" fontId="0" fillId="2" borderId="0" xfId="0" applyFill="1"/>
    <xf numFmtId="0" fontId="0" fillId="0" borderId="0" xfId="0" applyAlignment="1">
      <alignment wrapText="1"/>
    </xf>
    <xf numFmtId="0" fontId="0" fillId="3" borderId="0" xfId="0" applyFill="1" applyAlignment="1">
      <alignment wrapText="1"/>
    </xf>
    <xf numFmtId="0" fontId="0" fillId="4" borderId="0" xfId="0" applyFill="1"/>
    <xf numFmtId="0" fontId="0" fillId="0" borderId="0" xfId="0" applyAlignment="1">
      <alignment horizontal="right"/>
    </xf>
    <xf numFmtId="164" fontId="0" fillId="3" borderId="0" xfId="0" applyNumberFormat="1" applyFill="1" applyAlignment="1">
      <alignment wrapText="1"/>
    </xf>
    <xf numFmtId="164" fontId="0" fillId="0" borderId="0" xfId="0" applyNumberFormat="1"/>
    <xf numFmtId="164" fontId="0" fillId="0" borderId="0" xfId="0" applyNumberFormat="1" applyAlignment="1">
      <alignment horizontal="right"/>
    </xf>
    <xf numFmtId="14" fontId="0" fillId="0" borderId="0" xfId="0" applyNumberFormat="1" applyAlignment="1">
      <alignment vertical="center" wrapText="1"/>
    </xf>
    <xf numFmtId="0" fontId="0" fillId="2" borderId="0" xfId="0" applyFill="1" applyAlignment="1">
      <alignment horizontal="left"/>
    </xf>
    <xf numFmtId="164" fontId="0" fillId="2" borderId="0" xfId="0" applyNumberFormat="1" applyFill="1" applyAlignment="1">
      <alignment horizontal="left"/>
    </xf>
    <xf numFmtId="10" fontId="0" fillId="0" borderId="0" xfId="0" applyNumberFormat="1" applyAlignment="1">
      <alignment vertical="center" wrapText="1"/>
    </xf>
    <xf numFmtId="0" fontId="0" fillId="5" borderId="0" xfId="0" applyFill="1" applyAlignment="1">
      <alignment vertical="center" wrapText="1"/>
    </xf>
    <xf numFmtId="3" fontId="0" fillId="0" borderId="0" xfId="0" applyNumberFormat="1" applyAlignment="1">
      <alignment vertical="center" wrapText="1"/>
    </xf>
    <xf numFmtId="4" fontId="0" fillId="0" borderId="0" xfId="0" applyNumberFormat="1" applyAlignment="1">
      <alignment vertical="center" wrapText="1"/>
    </xf>
    <xf numFmtId="3" fontId="0" fillId="5" borderId="0" xfId="0" applyNumberFormat="1" applyFill="1" applyAlignment="1">
      <alignment vertical="center" wrapText="1"/>
    </xf>
    <xf numFmtId="4" fontId="0" fillId="5" borderId="0" xfId="0" applyNumberFormat="1" applyFill="1" applyAlignment="1">
      <alignment vertical="center" wrapText="1"/>
    </xf>
    <xf numFmtId="0" fontId="1" fillId="6" borderId="1" xfId="0" applyFont="1" applyFill="1" applyBorder="1" applyAlignment="1">
      <alignment wrapText="1"/>
    </xf>
    <xf numFmtId="49" fontId="0" fillId="0" borderId="0" xfId="0" applyNumberFormat="1"/>
    <xf numFmtId="16" fontId="0" fillId="0" borderId="0" xfId="0" applyNumberFormat="1"/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" fontId="0" fillId="0" borderId="0" xfId="0" applyNumberFormat="1"/>
    <xf numFmtId="1" fontId="0" fillId="0" borderId="0" xfId="0" applyNumberFormat="1" applyAlignment="1">
      <alignment vertical="center" wrapText="1"/>
    </xf>
  </cellXfs>
  <cellStyles count="1">
    <cellStyle name="Normal" xfId="0" builtinId="0"/>
  </cellStyles>
  <dxfs count="38">
    <dxf>
      <numFmt numFmtId="30" formatCode="@"/>
    </dxf>
    <dxf>
      <numFmt numFmtId="21" formatCode="d\-mmm"/>
    </dxf>
    <dxf>
      <numFmt numFmtId="0" formatCode="General"/>
    </dxf>
    <dxf>
      <numFmt numFmtId="1" formatCode="0"/>
      <alignment horizontal="general" vertical="center" textRotation="0" wrapText="1" indent="0" justifyLastLine="0" shrinkToFit="0" readingOrder="0"/>
    </dxf>
    <dxf>
      <numFmt numFmtId="1" formatCode="0"/>
      <alignment horizontal="general" vertical="center" textRotation="0" wrapText="1" indent="0" justifyLastLine="0" shrinkToFit="0" readingOrder="0"/>
    </dxf>
    <dxf>
      <numFmt numFmtId="1" formatCode="0"/>
      <alignment horizontal="general" vertical="center" textRotation="0" wrapText="1" indent="0" justifyLastLine="0" shrinkToFit="0" readingOrder="0"/>
    </dxf>
    <dxf>
      <numFmt numFmtId="1" formatCode="0"/>
      <alignment horizontal="general" vertical="center" textRotation="0" wrapText="1" indent="0" justifyLastLine="0" shrinkToFit="0" readingOrder="0"/>
    </dxf>
    <dxf>
      <numFmt numFmtId="1" formatCode="0"/>
      <alignment horizontal="general" vertical="center" textRotation="0" wrapText="1" indent="0" justifyLastLine="0" shrinkToFit="0" readingOrder="0"/>
    </dxf>
    <dxf>
      <numFmt numFmtId="1" formatCode="0"/>
      <alignment horizontal="general" vertical="center" textRotation="0" wrapText="1" indent="0" justifyLastLine="0" shrinkToFit="0" readingOrder="0"/>
    </dxf>
    <dxf>
      <numFmt numFmtId="1" formatCode="0"/>
      <alignment horizontal="general" vertical="center" textRotation="0" wrapText="1" indent="0" justifyLastLine="0" shrinkToFit="0" readingOrder="0"/>
    </dxf>
    <dxf>
      <numFmt numFmtId="1" formatCode="0"/>
      <alignment horizontal="general" vertical="center" textRotation="0" wrapText="1" indent="0" justifyLastLine="0" shrinkToFit="0" readingOrder="0"/>
    </dxf>
    <dxf>
      <numFmt numFmtId="1" formatCode="0"/>
      <alignment horizontal="general" vertical="center" textRotation="0" wrapText="1" indent="0" justifyLastLine="0" shrinkToFit="0" readingOrder="0"/>
    </dxf>
    <dxf>
      <numFmt numFmtId="1" formatCode="0"/>
      <alignment horizontal="general" vertical="center" textRotation="0" wrapText="1" indent="0" justifyLastLine="0" shrinkToFit="0" readingOrder="0"/>
    </dxf>
    <dxf>
      <numFmt numFmtId="19" formatCode="m/d/yyyy"/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ill>
        <patternFill patternType="solid">
          <fgColor indexed="64"/>
          <bgColor theme="4" tint="0.59999389629810485"/>
        </patternFill>
      </fill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0" formatCode="General"/>
    </dxf>
    <dxf>
      <numFmt numFmtId="1" formatCode="0"/>
      <alignment horizontal="general" vertical="center" textRotation="0" wrapText="1" indent="0" justifyLastLine="0" shrinkToFit="0" readingOrder="0"/>
    </dxf>
    <dxf>
      <numFmt numFmtId="1" formatCode="0"/>
      <alignment horizontal="general" vertical="center" textRotation="0" wrapText="1" indent="0" justifyLastLine="0" shrinkToFit="0" readingOrder="0"/>
    </dxf>
    <dxf>
      <numFmt numFmtId="1" formatCode="0"/>
      <alignment horizontal="general" vertical="center" textRotation="0" wrapText="1" indent="0" justifyLastLine="0" shrinkToFit="0" readingOrder="0"/>
    </dxf>
    <dxf>
      <numFmt numFmtId="1" formatCode="0"/>
      <alignment horizontal="general" vertical="center" textRotation="0" wrapText="1" indent="0" justifyLastLine="0" shrinkToFit="0" readingOrder="0"/>
    </dxf>
    <dxf>
      <numFmt numFmtId="1" formatCode="0"/>
      <alignment horizontal="general" vertical="center" textRotation="0" wrapText="1" indent="0" justifyLastLine="0" shrinkToFit="0" readingOrder="0"/>
    </dxf>
    <dxf>
      <numFmt numFmtId="1" formatCode="0"/>
      <alignment horizontal="general" vertical="center" textRotation="0" wrapText="1" indent="0" justifyLastLine="0" shrinkToFit="0" readingOrder="0"/>
    </dxf>
    <dxf>
      <numFmt numFmtId="1" formatCode="0"/>
      <alignment horizontal="general" vertical="center" textRotation="0" wrapText="1" indent="0" justifyLastLine="0" shrinkToFit="0" readingOrder="0"/>
    </dxf>
    <dxf>
      <numFmt numFmtId="1" formatCode="0"/>
      <alignment horizontal="general" vertical="center" textRotation="0" wrapText="1" indent="0" justifyLastLine="0" shrinkToFit="0" readingOrder="0"/>
    </dxf>
    <dxf>
      <numFmt numFmtId="1" formatCode="0"/>
      <alignment horizontal="general" vertical="center" textRotation="0" wrapText="1" indent="0" justifyLastLine="0" shrinkToFit="0" readingOrder="0"/>
    </dxf>
    <dxf>
      <numFmt numFmtId="1" formatCode="0"/>
      <alignment horizontal="general" vertical="center" textRotation="0" wrapText="1" indent="0" justifyLastLine="0" shrinkToFit="0" readingOrder="0"/>
    </dxf>
    <dxf>
      <numFmt numFmtId="19" formatCode="m/d/yyyy"/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ill>
        <patternFill patternType="solid">
          <fgColor indexed="64"/>
          <bgColor theme="4" tint="0.59999389629810485"/>
        </patternFill>
      </fill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ourfaraj, Vahab (DFO/MPO)" refreshedDate="45995.590602083335" createdVersion="8" refreshedVersion="8" minRefreshableVersion="3" recordCount="207" xr:uid="{0DEF8BB0-3F72-425E-BDE8-B85038372576}">
  <cacheSource type="worksheet">
    <worksheetSource name="Table2"/>
  </cacheSource>
  <cacheFields count="12">
    <cacheField name="Date" numFmtId="14">
      <sharedItems containsSemiMixedTypes="0" containsNonDate="0" containsDate="1" containsString="0" minDate="2025-04-01T00:00:00" maxDate="2025-10-25T00:00:00"/>
    </cacheField>
    <cacheField name="Adult" numFmtId="1">
      <sharedItems containsSemiMixedTypes="0" containsString="0" containsNumber="1" containsInteger="1" minValue="0" maxValue="16616"/>
    </cacheField>
    <cacheField name="Jack" numFmtId="1">
      <sharedItems containsSemiMixedTypes="0" containsString="0" containsNumber="1" containsInteger="1" minValue="0" maxValue="4932"/>
    </cacheField>
    <cacheField name="32" numFmtId="1">
      <sharedItems containsSemiMixedTypes="0" containsString="0" containsNumber="1" minValue="0" maxValue="4414.2"/>
    </cacheField>
    <cacheField name="42" numFmtId="1">
      <sharedItems containsSemiMixedTypes="0" containsString="0" containsNumber="1" minValue="0" maxValue="9426.01"/>
    </cacheField>
    <cacheField name="43" numFmtId="1">
      <sharedItems containsSemiMixedTypes="0" containsString="0" containsNumber="1" minValue="0" maxValue="792.93"/>
    </cacheField>
    <cacheField name="52" numFmtId="1">
      <sharedItems containsSemiMixedTypes="0" containsString="0" containsNumber="1" minValue="0" maxValue="5137.79"/>
    </cacheField>
    <cacheField name="53" numFmtId="1">
      <sharedItems containsSemiMixedTypes="0" containsString="0" containsNumber="1" minValue="0" maxValue="3189.58"/>
    </cacheField>
    <cacheField name="62" numFmtId="1">
      <sharedItems containsSemiMixedTypes="0" containsString="0" containsNumber="1" containsInteger="1" minValue="0" maxValue="0"/>
    </cacheField>
    <cacheField name="63" numFmtId="1">
      <sharedItems containsSemiMixedTypes="0" containsString="0" containsNumber="1" minValue="0" maxValue="264.69"/>
    </cacheField>
    <cacheField name="64" numFmtId="1">
      <sharedItems containsSemiMixedTypes="0" containsString="0" containsNumber="1" containsInteger="1" minValue="0" maxValue="0"/>
    </cacheField>
    <cacheField name="Statweek" numFmtId="0">
      <sharedItems containsSemiMixedTypes="0" containsString="0" containsNumber="1" containsInteger="1" minValue="41" maxValue="105" count="31">
        <n v="41"/>
        <n v="42"/>
        <n v="43"/>
        <n v="44"/>
        <n v="45"/>
        <n v="51"/>
        <n v="52"/>
        <n v="53"/>
        <n v="54"/>
        <n v="61"/>
        <n v="62"/>
        <n v="63"/>
        <n v="64"/>
        <n v="71"/>
        <n v="72"/>
        <n v="73"/>
        <n v="74"/>
        <n v="75"/>
        <n v="81"/>
        <n v="82"/>
        <n v="83"/>
        <n v="84"/>
        <n v="91"/>
        <n v="92"/>
        <n v="93"/>
        <n v="94"/>
        <n v="101"/>
        <n v="102"/>
        <n v="103"/>
        <n v="104"/>
        <n v="105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ourfaraj, Vahab (DFO/MPO)" refreshedDate="45995.596368749997" createdVersion="8" refreshedVersion="8" minRefreshableVersion="3" recordCount="220" xr:uid="{86E437C8-F0BE-47F8-9EB2-AF98A7873FFF}">
  <cacheSource type="worksheet">
    <worksheetSource name="Table3"/>
  </cacheSource>
  <cacheFields count="12">
    <cacheField name="Date" numFmtId="14">
      <sharedItems containsSemiMixedTypes="0" containsNonDate="0" containsDate="1" containsString="0" minDate="2025-03-25T00:00:00" maxDate="2025-10-31T00:00:00"/>
    </cacheField>
    <cacheField name="Adult" numFmtId="0">
      <sharedItems containsSemiMixedTypes="0" containsString="0" containsNumber="1" containsInteger="1" minValue="0" maxValue="3683"/>
    </cacheField>
    <cacheField name="Jack" numFmtId="0">
      <sharedItems containsSemiMixedTypes="0" containsString="0" containsNumber="1" containsInteger="1" minValue="0" maxValue="2163"/>
    </cacheField>
    <cacheField name="32" numFmtId="0">
      <sharedItems containsSemiMixedTypes="0" containsString="0" containsNumber="1" minValue="0" maxValue="2083.38"/>
    </cacheField>
    <cacheField name="42" numFmtId="0">
      <sharedItems containsSemiMixedTypes="0" containsString="0" containsNumber="1" minValue="0" maxValue="2906.18"/>
    </cacheField>
    <cacheField name="43" numFmtId="0">
      <sharedItems containsSemiMixedTypes="0" containsString="0" containsNumber="1" minValue="0" maxValue="273.77"/>
    </cacheField>
    <cacheField name="52" numFmtId="0">
      <sharedItems containsSemiMixedTypes="0" containsString="0" containsNumber="1" minValue="0" maxValue="1068.3399999999999"/>
    </cacheField>
    <cacheField name="53" numFmtId="0">
      <sharedItems containsSemiMixedTypes="0" containsString="0" containsNumber="1" minValue="0" maxValue="180.85"/>
    </cacheField>
    <cacheField name="62" numFmtId="0">
      <sharedItems containsSemiMixedTypes="0" containsString="0" containsNumber="1" containsInteger="1" minValue="0" maxValue="0"/>
    </cacheField>
    <cacheField name="63" numFmtId="0">
      <sharedItems containsSemiMixedTypes="0" containsString="0" containsNumber="1" minValue="0" maxValue="84.39"/>
    </cacheField>
    <cacheField name="64" numFmtId="0">
      <sharedItems containsSemiMixedTypes="0" containsString="0" containsNumber="1" containsInteger="1" minValue="0" maxValue="0"/>
    </cacheField>
    <cacheField name="Statweek" numFmtId="0">
      <sharedItems containsSemiMixedTypes="0" containsString="0" containsNumber="1" containsInteger="1" minValue="34" maxValue="111" count="33">
        <n v="34"/>
        <n v="41"/>
        <n v="42"/>
        <n v="43"/>
        <n v="44"/>
        <n v="45"/>
        <n v="51"/>
        <n v="52"/>
        <n v="53"/>
        <n v="54"/>
        <n v="61"/>
        <n v="62"/>
        <n v="63"/>
        <n v="64"/>
        <n v="71"/>
        <n v="72"/>
        <n v="73"/>
        <n v="74"/>
        <n v="75"/>
        <n v="81"/>
        <n v="82"/>
        <n v="83"/>
        <n v="84"/>
        <n v="91"/>
        <n v="92"/>
        <n v="93"/>
        <n v="94"/>
        <n v="101"/>
        <n v="102"/>
        <n v="103"/>
        <n v="104"/>
        <n v="105"/>
        <n v="11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7">
  <r>
    <d v="2025-04-01T00:00:00"/>
    <n v="0"/>
    <n v="0"/>
    <n v="0"/>
    <n v="0"/>
    <n v="0"/>
    <n v="0"/>
    <n v="0"/>
    <n v="0"/>
    <n v="0"/>
    <n v="0"/>
    <x v="0"/>
  </r>
  <r>
    <d v="2025-04-02T00:00:00"/>
    <n v="0"/>
    <n v="0"/>
    <n v="0"/>
    <n v="0"/>
    <n v="0"/>
    <n v="0"/>
    <n v="0"/>
    <n v="0"/>
    <n v="0"/>
    <n v="0"/>
    <x v="0"/>
  </r>
  <r>
    <d v="2025-04-03T00:00:00"/>
    <n v="0"/>
    <n v="0"/>
    <n v="0"/>
    <n v="0"/>
    <n v="0"/>
    <n v="0"/>
    <n v="0"/>
    <n v="0"/>
    <n v="0"/>
    <n v="0"/>
    <x v="1"/>
  </r>
  <r>
    <d v="2025-04-04T00:00:00"/>
    <n v="0"/>
    <n v="0"/>
    <n v="0"/>
    <n v="0"/>
    <n v="0"/>
    <n v="0"/>
    <n v="0"/>
    <n v="0"/>
    <n v="0"/>
    <n v="0"/>
    <x v="1"/>
  </r>
  <r>
    <d v="2025-04-05T00:00:00"/>
    <n v="0"/>
    <n v="0"/>
    <n v="0"/>
    <n v="0"/>
    <n v="0"/>
    <n v="0"/>
    <n v="0"/>
    <n v="0"/>
    <n v="0"/>
    <n v="0"/>
    <x v="1"/>
  </r>
  <r>
    <d v="2025-04-06T00:00:00"/>
    <n v="0"/>
    <n v="0"/>
    <n v="0"/>
    <n v="0"/>
    <n v="0"/>
    <n v="0"/>
    <n v="0"/>
    <n v="0"/>
    <n v="0"/>
    <n v="0"/>
    <x v="1"/>
  </r>
  <r>
    <d v="2025-04-07T00:00:00"/>
    <n v="0"/>
    <n v="0"/>
    <n v="0"/>
    <n v="0"/>
    <n v="0"/>
    <n v="0"/>
    <n v="0"/>
    <n v="0"/>
    <n v="0"/>
    <n v="0"/>
    <x v="1"/>
  </r>
  <r>
    <d v="2025-04-08T00:00:00"/>
    <n v="0"/>
    <n v="0"/>
    <n v="0"/>
    <n v="0"/>
    <n v="0"/>
    <n v="0"/>
    <n v="0"/>
    <n v="0"/>
    <n v="0"/>
    <n v="0"/>
    <x v="1"/>
  </r>
  <r>
    <d v="2025-04-09T00:00:00"/>
    <n v="0"/>
    <n v="0"/>
    <n v="0"/>
    <n v="0"/>
    <n v="0"/>
    <n v="0"/>
    <n v="0"/>
    <n v="0"/>
    <n v="0"/>
    <n v="0"/>
    <x v="1"/>
  </r>
  <r>
    <d v="2025-04-10T00:00:00"/>
    <n v="0"/>
    <n v="0"/>
    <n v="0"/>
    <n v="0"/>
    <n v="0"/>
    <n v="0"/>
    <n v="0"/>
    <n v="0"/>
    <n v="0"/>
    <n v="0"/>
    <x v="2"/>
  </r>
  <r>
    <d v="2025-04-11T00:00:00"/>
    <n v="0"/>
    <n v="0"/>
    <n v="0"/>
    <n v="0"/>
    <n v="0"/>
    <n v="0"/>
    <n v="0"/>
    <n v="0"/>
    <n v="0"/>
    <n v="0"/>
    <x v="2"/>
  </r>
  <r>
    <d v="2025-04-12T00:00:00"/>
    <n v="0"/>
    <n v="0"/>
    <n v="0"/>
    <n v="0"/>
    <n v="0"/>
    <n v="0"/>
    <n v="0"/>
    <n v="0"/>
    <n v="0"/>
    <n v="0"/>
    <x v="2"/>
  </r>
  <r>
    <d v="2025-04-13T00:00:00"/>
    <n v="0"/>
    <n v="0"/>
    <n v="0"/>
    <n v="0"/>
    <n v="0"/>
    <n v="0"/>
    <n v="0"/>
    <n v="0"/>
    <n v="0"/>
    <n v="0"/>
    <x v="2"/>
  </r>
  <r>
    <d v="2025-04-14T00:00:00"/>
    <n v="0"/>
    <n v="0"/>
    <n v="0"/>
    <n v="0"/>
    <n v="0"/>
    <n v="0"/>
    <n v="0"/>
    <n v="0"/>
    <n v="0"/>
    <n v="0"/>
    <x v="2"/>
  </r>
  <r>
    <d v="2025-04-15T00:00:00"/>
    <n v="1"/>
    <n v="0"/>
    <n v="0.02"/>
    <n v="0.44"/>
    <n v="0"/>
    <n v="0.31"/>
    <n v="0.24"/>
    <n v="0"/>
    <n v="0"/>
    <n v="0"/>
    <x v="2"/>
  </r>
  <r>
    <d v="2025-04-16T00:00:00"/>
    <n v="0"/>
    <n v="0"/>
    <n v="0"/>
    <n v="0"/>
    <n v="0"/>
    <n v="0"/>
    <n v="0"/>
    <n v="0"/>
    <n v="0"/>
    <n v="0"/>
    <x v="2"/>
  </r>
  <r>
    <d v="2025-04-17T00:00:00"/>
    <n v="0"/>
    <n v="0"/>
    <n v="0"/>
    <n v="0"/>
    <n v="0"/>
    <n v="0"/>
    <n v="0"/>
    <n v="0"/>
    <n v="0"/>
    <n v="0"/>
    <x v="3"/>
  </r>
  <r>
    <d v="2025-04-18T00:00:00"/>
    <n v="0"/>
    <n v="0"/>
    <n v="0"/>
    <n v="0"/>
    <n v="0"/>
    <n v="0"/>
    <n v="0"/>
    <n v="0"/>
    <n v="0"/>
    <n v="0"/>
    <x v="3"/>
  </r>
  <r>
    <d v="2025-04-19T00:00:00"/>
    <n v="2"/>
    <n v="0"/>
    <n v="0.04"/>
    <n v="0.87"/>
    <n v="0"/>
    <n v="0.62"/>
    <n v="0.47"/>
    <n v="0"/>
    <n v="0"/>
    <n v="0"/>
    <x v="3"/>
  </r>
  <r>
    <d v="2025-04-20T00:00:00"/>
    <n v="0"/>
    <n v="0"/>
    <n v="0"/>
    <n v="0"/>
    <n v="0"/>
    <n v="0"/>
    <n v="0"/>
    <n v="0"/>
    <n v="0"/>
    <n v="0"/>
    <x v="3"/>
  </r>
  <r>
    <d v="2025-04-21T00:00:00"/>
    <n v="0"/>
    <n v="0"/>
    <n v="0"/>
    <n v="0"/>
    <n v="0"/>
    <n v="0"/>
    <n v="0"/>
    <n v="0"/>
    <n v="0"/>
    <n v="0"/>
    <x v="3"/>
  </r>
  <r>
    <d v="2025-04-22T00:00:00"/>
    <n v="1"/>
    <n v="0"/>
    <n v="0.02"/>
    <n v="0.44"/>
    <n v="0"/>
    <n v="0.31"/>
    <n v="0.24"/>
    <n v="0"/>
    <n v="0"/>
    <n v="0"/>
    <x v="3"/>
  </r>
  <r>
    <d v="2025-04-23T00:00:00"/>
    <n v="0"/>
    <n v="0"/>
    <n v="0"/>
    <n v="0"/>
    <n v="0"/>
    <n v="0"/>
    <n v="0"/>
    <n v="0"/>
    <n v="0"/>
    <n v="0"/>
    <x v="3"/>
  </r>
  <r>
    <d v="2025-04-24T00:00:00"/>
    <n v="0"/>
    <n v="0"/>
    <n v="0"/>
    <n v="0"/>
    <n v="0"/>
    <n v="0"/>
    <n v="0"/>
    <n v="0"/>
    <n v="0"/>
    <n v="0"/>
    <x v="4"/>
  </r>
  <r>
    <d v="2025-04-25T00:00:00"/>
    <n v="0"/>
    <n v="0"/>
    <n v="0"/>
    <n v="0"/>
    <n v="0"/>
    <n v="0"/>
    <n v="0"/>
    <n v="0"/>
    <n v="0"/>
    <n v="0"/>
    <x v="4"/>
  </r>
  <r>
    <d v="2025-04-26T00:00:00"/>
    <n v="0"/>
    <n v="0"/>
    <n v="0"/>
    <n v="0"/>
    <n v="0"/>
    <n v="0"/>
    <n v="0"/>
    <n v="0"/>
    <n v="0"/>
    <n v="0"/>
    <x v="4"/>
  </r>
  <r>
    <d v="2025-04-27T00:00:00"/>
    <n v="0"/>
    <n v="0"/>
    <n v="0"/>
    <n v="0"/>
    <n v="0"/>
    <n v="0"/>
    <n v="0"/>
    <n v="0"/>
    <n v="0"/>
    <n v="0"/>
    <x v="4"/>
  </r>
  <r>
    <d v="2025-04-28T00:00:00"/>
    <n v="0"/>
    <n v="0"/>
    <n v="0"/>
    <n v="0"/>
    <n v="0"/>
    <n v="0"/>
    <n v="0"/>
    <n v="0"/>
    <n v="0"/>
    <n v="0"/>
    <x v="4"/>
  </r>
  <r>
    <d v="2025-04-29T00:00:00"/>
    <n v="1"/>
    <n v="0"/>
    <n v="0.02"/>
    <n v="0.44"/>
    <n v="0"/>
    <n v="0.31"/>
    <n v="0.24"/>
    <n v="0"/>
    <n v="0"/>
    <n v="0"/>
    <x v="4"/>
  </r>
  <r>
    <d v="2025-04-30T00:00:00"/>
    <n v="0"/>
    <n v="0"/>
    <n v="0"/>
    <n v="0"/>
    <n v="0"/>
    <n v="0"/>
    <n v="0"/>
    <n v="0"/>
    <n v="0"/>
    <n v="0"/>
    <x v="4"/>
  </r>
  <r>
    <d v="2025-05-01T00:00:00"/>
    <n v="0"/>
    <n v="0"/>
    <n v="0"/>
    <n v="0"/>
    <n v="0"/>
    <n v="0"/>
    <n v="0"/>
    <n v="0"/>
    <n v="0"/>
    <n v="0"/>
    <x v="5"/>
  </r>
  <r>
    <d v="2025-05-02T00:00:00"/>
    <n v="1"/>
    <n v="0"/>
    <n v="0.02"/>
    <n v="0.44"/>
    <n v="0"/>
    <n v="0.31"/>
    <n v="0.24"/>
    <n v="0"/>
    <n v="0"/>
    <n v="0"/>
    <x v="5"/>
  </r>
  <r>
    <d v="2025-05-03T00:00:00"/>
    <n v="0"/>
    <n v="0"/>
    <n v="0"/>
    <n v="0"/>
    <n v="0"/>
    <n v="0"/>
    <n v="0"/>
    <n v="0"/>
    <n v="0"/>
    <n v="0"/>
    <x v="5"/>
  </r>
  <r>
    <d v="2025-05-04T00:00:00"/>
    <n v="0"/>
    <n v="0"/>
    <n v="0"/>
    <n v="0"/>
    <n v="0"/>
    <n v="0"/>
    <n v="0"/>
    <n v="0"/>
    <n v="0"/>
    <n v="0"/>
    <x v="5"/>
  </r>
  <r>
    <d v="2025-05-05T00:00:00"/>
    <n v="0"/>
    <n v="0"/>
    <n v="0"/>
    <n v="0"/>
    <n v="0"/>
    <n v="0"/>
    <n v="0"/>
    <n v="0"/>
    <n v="0"/>
    <n v="0"/>
    <x v="5"/>
  </r>
  <r>
    <d v="2025-05-06T00:00:00"/>
    <n v="0"/>
    <n v="0"/>
    <n v="0"/>
    <n v="0"/>
    <n v="0"/>
    <n v="0"/>
    <n v="0"/>
    <n v="0"/>
    <n v="0"/>
    <n v="0"/>
    <x v="5"/>
  </r>
  <r>
    <d v="2025-05-07T00:00:00"/>
    <n v="3"/>
    <n v="0"/>
    <n v="0.05"/>
    <n v="1.31"/>
    <n v="0"/>
    <n v="0.93"/>
    <n v="0.71"/>
    <n v="0"/>
    <n v="0"/>
    <n v="0"/>
    <x v="5"/>
  </r>
  <r>
    <d v="2025-05-08T00:00:00"/>
    <n v="1"/>
    <n v="0"/>
    <n v="0.02"/>
    <n v="0.44"/>
    <n v="0"/>
    <n v="0.31"/>
    <n v="0.24"/>
    <n v="0"/>
    <n v="0"/>
    <n v="0"/>
    <x v="6"/>
  </r>
  <r>
    <d v="2025-05-09T00:00:00"/>
    <n v="0"/>
    <n v="0"/>
    <n v="0"/>
    <n v="0"/>
    <n v="0"/>
    <n v="0"/>
    <n v="0"/>
    <n v="0"/>
    <n v="0"/>
    <n v="0"/>
    <x v="6"/>
  </r>
  <r>
    <d v="2025-05-10T00:00:00"/>
    <n v="0"/>
    <n v="0"/>
    <n v="0"/>
    <n v="0"/>
    <n v="0"/>
    <n v="0"/>
    <n v="0"/>
    <n v="0"/>
    <n v="0"/>
    <n v="0"/>
    <x v="6"/>
  </r>
  <r>
    <d v="2025-05-11T00:00:00"/>
    <n v="3"/>
    <n v="0"/>
    <n v="0.05"/>
    <n v="1.31"/>
    <n v="0"/>
    <n v="0.93"/>
    <n v="0.71"/>
    <n v="0"/>
    <n v="0"/>
    <n v="0"/>
    <x v="6"/>
  </r>
  <r>
    <d v="2025-05-12T00:00:00"/>
    <n v="1"/>
    <n v="0"/>
    <n v="0.02"/>
    <n v="0.44"/>
    <n v="0"/>
    <n v="0.31"/>
    <n v="0.24"/>
    <n v="0"/>
    <n v="0"/>
    <n v="0"/>
    <x v="6"/>
  </r>
  <r>
    <d v="2025-05-13T00:00:00"/>
    <n v="1"/>
    <n v="0"/>
    <n v="0.02"/>
    <n v="0.44"/>
    <n v="0"/>
    <n v="0.31"/>
    <n v="0.24"/>
    <n v="0"/>
    <n v="0"/>
    <n v="0"/>
    <x v="6"/>
  </r>
  <r>
    <d v="2025-05-14T00:00:00"/>
    <n v="0"/>
    <n v="0"/>
    <n v="0"/>
    <n v="0"/>
    <n v="0"/>
    <n v="0"/>
    <n v="0"/>
    <n v="0"/>
    <n v="0"/>
    <n v="0"/>
    <x v="6"/>
  </r>
  <r>
    <d v="2025-05-15T00:00:00"/>
    <n v="1"/>
    <n v="0"/>
    <n v="0.02"/>
    <n v="0.44"/>
    <n v="0"/>
    <n v="0.31"/>
    <n v="0.24"/>
    <n v="0"/>
    <n v="0"/>
    <n v="0"/>
    <x v="7"/>
  </r>
  <r>
    <d v="2025-05-16T00:00:00"/>
    <n v="2"/>
    <n v="0"/>
    <n v="0.04"/>
    <n v="0.87"/>
    <n v="0"/>
    <n v="0.62"/>
    <n v="0.47"/>
    <n v="0"/>
    <n v="0"/>
    <n v="0"/>
    <x v="7"/>
  </r>
  <r>
    <d v="2025-05-17T00:00:00"/>
    <n v="0"/>
    <n v="0"/>
    <n v="0"/>
    <n v="0"/>
    <n v="0"/>
    <n v="0"/>
    <n v="0"/>
    <n v="0"/>
    <n v="0"/>
    <n v="0"/>
    <x v="7"/>
  </r>
  <r>
    <d v="2025-05-18T00:00:00"/>
    <n v="3"/>
    <n v="0"/>
    <n v="0.05"/>
    <n v="1.31"/>
    <n v="0"/>
    <n v="0.93"/>
    <n v="0.71"/>
    <n v="0"/>
    <n v="0"/>
    <n v="0"/>
    <x v="7"/>
  </r>
  <r>
    <d v="2025-05-19T00:00:00"/>
    <n v="2"/>
    <n v="0"/>
    <n v="0.04"/>
    <n v="0.87"/>
    <n v="0"/>
    <n v="0.62"/>
    <n v="0.47"/>
    <n v="0"/>
    <n v="0"/>
    <n v="0"/>
    <x v="7"/>
  </r>
  <r>
    <d v="2025-05-20T00:00:00"/>
    <n v="20"/>
    <n v="0"/>
    <n v="0.36"/>
    <n v="8.73"/>
    <n v="0"/>
    <n v="6.18"/>
    <n v="4.7300000000000004"/>
    <n v="0"/>
    <n v="0"/>
    <n v="0"/>
    <x v="7"/>
  </r>
  <r>
    <d v="2025-05-21T00:00:00"/>
    <n v="8"/>
    <n v="0"/>
    <n v="0.15"/>
    <n v="3.49"/>
    <n v="0"/>
    <n v="2.4700000000000002"/>
    <n v="1.89"/>
    <n v="0"/>
    <n v="0"/>
    <n v="0"/>
    <x v="7"/>
  </r>
  <r>
    <d v="2025-05-22T00:00:00"/>
    <n v="2"/>
    <n v="0"/>
    <n v="0.04"/>
    <n v="0.87"/>
    <n v="0"/>
    <n v="0.62"/>
    <n v="0.47"/>
    <n v="0"/>
    <n v="0"/>
    <n v="0"/>
    <x v="8"/>
  </r>
  <r>
    <d v="2025-05-23T00:00:00"/>
    <n v="16"/>
    <n v="0"/>
    <n v="0.28999999999999998"/>
    <n v="6.98"/>
    <n v="0"/>
    <n v="4.95"/>
    <n v="3.78"/>
    <n v="0"/>
    <n v="0"/>
    <n v="0"/>
    <x v="8"/>
  </r>
  <r>
    <d v="2025-05-24T00:00:00"/>
    <n v="17"/>
    <n v="0"/>
    <n v="0.31"/>
    <n v="7.42"/>
    <n v="0"/>
    <n v="5.25"/>
    <n v="4.0199999999999996"/>
    <n v="0"/>
    <n v="0"/>
    <n v="0"/>
    <x v="8"/>
  </r>
  <r>
    <d v="2025-05-25T00:00:00"/>
    <n v="36"/>
    <n v="1"/>
    <n v="0.67"/>
    <n v="16.14"/>
    <n v="0"/>
    <n v="11.44"/>
    <n v="8.75"/>
    <n v="0"/>
    <n v="0"/>
    <n v="0"/>
    <x v="8"/>
  </r>
  <r>
    <d v="2025-05-26T00:00:00"/>
    <n v="76"/>
    <n v="1"/>
    <n v="1.4"/>
    <n v="33.6"/>
    <n v="0"/>
    <n v="23.8"/>
    <n v="18.2"/>
    <n v="0"/>
    <n v="0"/>
    <n v="0"/>
    <x v="8"/>
  </r>
  <r>
    <d v="2025-05-27T00:00:00"/>
    <n v="14"/>
    <n v="0"/>
    <n v="0.25"/>
    <n v="6.11"/>
    <n v="0"/>
    <n v="4.33"/>
    <n v="3.31"/>
    <n v="0"/>
    <n v="0"/>
    <n v="0"/>
    <x v="8"/>
  </r>
  <r>
    <d v="2025-05-28T00:00:00"/>
    <n v="2"/>
    <n v="0"/>
    <n v="0.04"/>
    <n v="0.87"/>
    <n v="0"/>
    <n v="0.62"/>
    <n v="0.47"/>
    <n v="0"/>
    <n v="0"/>
    <n v="0"/>
    <x v="8"/>
  </r>
  <r>
    <d v="2025-05-29T00:00:00"/>
    <n v="184"/>
    <n v="3"/>
    <n v="3.4"/>
    <n v="81.59"/>
    <n v="0"/>
    <n v="57.8"/>
    <n v="44.21"/>
    <n v="0"/>
    <n v="0"/>
    <n v="0"/>
    <x v="9"/>
  </r>
  <r>
    <d v="2025-05-30T00:00:00"/>
    <n v="56"/>
    <n v="1"/>
    <n v="1.04"/>
    <n v="24.87"/>
    <n v="0"/>
    <n v="17.62"/>
    <n v="13.47"/>
    <n v="0"/>
    <n v="0"/>
    <n v="0"/>
    <x v="9"/>
  </r>
  <r>
    <d v="2025-05-31T00:00:00"/>
    <n v="116"/>
    <n v="2"/>
    <n v="2.15"/>
    <n v="51.48"/>
    <n v="0"/>
    <n v="36.47"/>
    <n v="27.9"/>
    <n v="0"/>
    <n v="0"/>
    <n v="0"/>
    <x v="9"/>
  </r>
  <r>
    <d v="2025-06-01T00:00:00"/>
    <n v="103"/>
    <n v="2"/>
    <n v="1.91"/>
    <n v="45.81"/>
    <n v="0"/>
    <n v="32.46"/>
    <n v="24.82"/>
    <n v="0"/>
    <n v="0"/>
    <n v="0"/>
    <x v="9"/>
  </r>
  <r>
    <d v="2025-06-02T00:00:00"/>
    <n v="384"/>
    <n v="7"/>
    <n v="7.12"/>
    <n v="170.59"/>
    <n v="0"/>
    <n v="120.86"/>
    <n v="92.43"/>
    <n v="0"/>
    <n v="0"/>
    <n v="0"/>
    <x v="9"/>
  </r>
  <r>
    <d v="2025-06-03T00:00:00"/>
    <n v="174"/>
    <n v="3"/>
    <n v="3.22"/>
    <n v="77.23"/>
    <n v="0"/>
    <n v="54.71"/>
    <n v="41.84"/>
    <n v="0"/>
    <n v="0"/>
    <n v="0"/>
    <x v="9"/>
  </r>
  <r>
    <d v="2025-06-04T00:00:00"/>
    <n v="445"/>
    <n v="8"/>
    <n v="8.24"/>
    <n v="197.64"/>
    <n v="0"/>
    <n v="140.02000000000001"/>
    <n v="107.09"/>
    <n v="0"/>
    <n v="0"/>
    <n v="0"/>
    <x v="9"/>
  </r>
  <r>
    <d v="2025-06-05T00:00:00"/>
    <n v="92"/>
    <n v="2"/>
    <n v="1.71"/>
    <n v="41.01"/>
    <n v="0"/>
    <n v="29.06"/>
    <n v="22.22"/>
    <n v="0"/>
    <n v="0"/>
    <n v="0"/>
    <x v="10"/>
  </r>
  <r>
    <d v="2025-06-06T00:00:00"/>
    <n v="110"/>
    <n v="2"/>
    <n v="2.04"/>
    <n v="48.87"/>
    <n v="0"/>
    <n v="34.619999999999997"/>
    <n v="26.48"/>
    <n v="0"/>
    <n v="0"/>
    <n v="0"/>
    <x v="10"/>
  </r>
  <r>
    <d v="2025-06-07T00:00:00"/>
    <n v="679"/>
    <n v="13"/>
    <n v="12.59"/>
    <n v="301.92"/>
    <n v="0"/>
    <n v="213.9"/>
    <n v="163.59"/>
    <n v="0"/>
    <n v="0"/>
    <n v="0"/>
    <x v="10"/>
  </r>
  <r>
    <d v="2025-06-08T00:00:00"/>
    <n v="473"/>
    <n v="9"/>
    <n v="8.77"/>
    <n v="210.3"/>
    <n v="0"/>
    <n v="148.99"/>
    <n v="113.94"/>
    <n v="0"/>
    <n v="0"/>
    <n v="0"/>
    <x v="10"/>
  </r>
  <r>
    <d v="2025-06-09T00:00:00"/>
    <n v="1138"/>
    <n v="21"/>
    <n v="21.09"/>
    <n v="505.67"/>
    <n v="0"/>
    <n v="358.25"/>
    <n v="273.99"/>
    <n v="0"/>
    <n v="0"/>
    <n v="0"/>
    <x v="10"/>
  </r>
  <r>
    <d v="2025-06-10T00:00:00"/>
    <n v="212"/>
    <n v="4"/>
    <n v="3.93"/>
    <n v="94.24"/>
    <n v="0"/>
    <n v="66.77"/>
    <n v="51.06"/>
    <n v="0"/>
    <n v="0"/>
    <n v="0"/>
    <x v="10"/>
  </r>
  <r>
    <d v="2025-06-11T00:00:00"/>
    <n v="167"/>
    <n v="3"/>
    <n v="3.09"/>
    <n v="74.17"/>
    <n v="0"/>
    <n v="52.55"/>
    <n v="40.19"/>
    <n v="0"/>
    <n v="0"/>
    <n v="0"/>
    <x v="10"/>
  </r>
  <r>
    <d v="2025-06-12T00:00:00"/>
    <n v="622"/>
    <n v="12"/>
    <n v="11.52"/>
    <n v="277.18"/>
    <n v="0"/>
    <n v="195.66"/>
    <n v="149.63999999999999"/>
    <n v="0"/>
    <n v="0"/>
    <n v="0"/>
    <x v="11"/>
  </r>
  <r>
    <d v="2025-06-13T00:00:00"/>
    <n v="1506"/>
    <n v="28"/>
    <n v="27.92"/>
    <n v="669.28"/>
    <n v="0"/>
    <n v="474.16"/>
    <n v="362.64"/>
    <n v="0"/>
    <n v="0"/>
    <n v="0"/>
    <x v="11"/>
  </r>
  <r>
    <d v="2025-06-14T00:00:00"/>
    <n v="1032"/>
    <n v="19"/>
    <n v="19.13"/>
    <n v="458.55"/>
    <n v="0"/>
    <n v="324.86"/>
    <n v="248.46"/>
    <n v="0"/>
    <n v="0"/>
    <n v="0"/>
    <x v="11"/>
  </r>
  <r>
    <d v="2025-06-15T00:00:00"/>
    <n v="1759"/>
    <n v="56"/>
    <n v="55.72"/>
    <n v="872.29"/>
    <n v="0"/>
    <n v="503.3"/>
    <n v="383.69"/>
    <n v="0"/>
    <n v="0"/>
    <n v="0"/>
    <x v="11"/>
  </r>
  <r>
    <d v="2025-06-16T00:00:00"/>
    <n v="4457"/>
    <n v="201"/>
    <n v="201.23"/>
    <n v="2444.98"/>
    <n v="0"/>
    <n v="1143.54"/>
    <n v="868.25"/>
    <n v="0"/>
    <n v="0"/>
    <n v="0"/>
    <x v="11"/>
  </r>
  <r>
    <d v="2025-06-17T00:00:00"/>
    <n v="9977"/>
    <n v="588"/>
    <n v="588.47"/>
    <n v="6014.65"/>
    <n v="0"/>
    <n v="2256.6799999999998"/>
    <n v="1705.19"/>
    <n v="0"/>
    <n v="0"/>
    <n v="0"/>
    <x v="11"/>
  </r>
  <r>
    <d v="2025-06-18T00:00:00"/>
    <n v="6553"/>
    <n v="480"/>
    <n v="479.65"/>
    <n v="4315.45"/>
    <n v="0"/>
    <n v="1278.5999999999999"/>
    <n v="959.3"/>
    <n v="0"/>
    <n v="0"/>
    <n v="0"/>
    <x v="11"/>
  </r>
  <r>
    <d v="2025-06-19T00:00:00"/>
    <n v="7790"/>
    <n v="585"/>
    <n v="584.58000000000004"/>
    <n v="4264.55"/>
    <n v="0"/>
    <n v="2356.73"/>
    <n v="1169.1500000000001"/>
    <n v="0"/>
    <n v="0"/>
    <n v="0"/>
    <x v="12"/>
  </r>
  <r>
    <d v="2025-06-20T00:00:00"/>
    <n v="12524"/>
    <n v="963"/>
    <n v="962.83"/>
    <n v="5459.38"/>
    <n v="0"/>
    <n v="5137.79"/>
    <n v="1927.01"/>
    <n v="0"/>
    <n v="0"/>
    <n v="0"/>
    <x v="12"/>
  </r>
  <r>
    <d v="2025-06-21T00:00:00"/>
    <n v="14854"/>
    <n v="1021"/>
    <n v="1020.76"/>
    <n v="7458.08"/>
    <n v="0"/>
    <n v="4826"/>
    <n v="2570.16"/>
    <n v="0"/>
    <n v="0"/>
    <n v="0"/>
    <x v="12"/>
  </r>
  <r>
    <d v="2025-06-22T00:00:00"/>
    <n v="16616"/>
    <n v="1006"/>
    <n v="1006.22"/>
    <n v="9426.01"/>
    <n v="0"/>
    <n v="4000.19"/>
    <n v="3189.58"/>
    <n v="0"/>
    <n v="0"/>
    <n v="0"/>
    <x v="12"/>
  </r>
  <r>
    <d v="2025-06-23T00:00:00"/>
    <n v="11630"/>
    <n v="612"/>
    <n v="612.1"/>
    <n v="7345.2"/>
    <n v="0"/>
    <n v="1836.3"/>
    <n v="2448.4"/>
    <n v="0"/>
    <n v="0"/>
    <n v="0"/>
    <x v="12"/>
  </r>
  <r>
    <d v="2025-06-24T00:00:00"/>
    <n v="12840"/>
    <n v="1982"/>
    <n v="1660.06"/>
    <n v="7990.54"/>
    <n v="321.64"/>
    <n v="1594.85"/>
    <n v="3093.35"/>
    <n v="0"/>
    <n v="161.56"/>
    <n v="0"/>
    <x v="12"/>
  </r>
  <r>
    <d v="2025-06-25T00:00:00"/>
    <n v="7463"/>
    <n v="2073"/>
    <n v="1658.31"/>
    <n v="4561.07"/>
    <n v="414.82"/>
    <n v="621.75"/>
    <n v="2073.13"/>
    <n v="0"/>
    <n v="206.93"/>
    <n v="0"/>
    <x v="12"/>
  </r>
  <r>
    <d v="2025-06-26T00:00:00"/>
    <n v="7521"/>
    <n v="1743"/>
    <n v="1436.85"/>
    <n v="4742.24"/>
    <n v="306.64"/>
    <n v="1144.0999999999999"/>
    <n v="1533.19"/>
    <n v="0"/>
    <n v="100.98"/>
    <n v="0"/>
    <x v="13"/>
  </r>
  <r>
    <d v="2025-06-27T00:00:00"/>
    <n v="7027"/>
    <n v="1330"/>
    <n v="1139.8900000000001"/>
    <n v="4558.74"/>
    <n v="189.7"/>
    <n v="1519.3"/>
    <n v="949.36"/>
    <n v="0"/>
    <n v="0"/>
    <n v="0"/>
    <x v="13"/>
  </r>
  <r>
    <d v="2025-06-28T00:00:00"/>
    <n v="4589"/>
    <n v="982"/>
    <n v="817.82"/>
    <n v="2993.86"/>
    <n v="163.79"/>
    <n v="923.67"/>
    <n v="653.48"/>
    <n v="0"/>
    <n v="18.38"/>
    <n v="0"/>
    <x v="13"/>
  </r>
  <r>
    <d v="2025-06-29T00:00:00"/>
    <n v="8492"/>
    <n v="2037"/>
    <n v="1655.32"/>
    <n v="5571.48"/>
    <n v="381.19"/>
    <n v="1577.39"/>
    <n v="1274.1300000000001"/>
    <n v="0"/>
    <n v="69.5"/>
    <n v="0"/>
    <x v="13"/>
  </r>
  <r>
    <d v="2025-06-30T00:00:00"/>
    <n v="9708"/>
    <n v="2589"/>
    <n v="2060.98"/>
    <n v="6406.74"/>
    <n v="527.54"/>
    <n v="1645.34"/>
    <n v="1533.44"/>
    <n v="0"/>
    <n v="122.97"/>
    <n v="0"/>
    <x v="13"/>
  </r>
  <r>
    <d v="2025-07-01T00:00:00"/>
    <n v="8434"/>
    <n v="2485"/>
    <n v="1943.76"/>
    <n v="5599.87"/>
    <n v="541.63"/>
    <n v="1286.3800000000001"/>
    <n v="1402.13"/>
    <n v="0"/>
    <n v="145.24"/>
    <n v="0"/>
    <x v="13"/>
  </r>
  <r>
    <d v="2025-07-02T00:00:00"/>
    <n v="4850"/>
    <n v="1572"/>
    <n v="1210.55"/>
    <n v="3241.18"/>
    <n v="361.56"/>
    <n v="653.76"/>
    <n v="848.35"/>
    <n v="0"/>
    <n v="106.61"/>
    <n v="0"/>
    <x v="13"/>
  </r>
  <r>
    <d v="2025-07-03T00:00:00"/>
    <n v="8539"/>
    <n v="3030"/>
    <n v="2301.27"/>
    <n v="5744.66"/>
    <n v="728.91"/>
    <n v="992.71"/>
    <n v="1571.21"/>
    <n v="0"/>
    <n v="230.24"/>
    <n v="0"/>
    <x v="14"/>
  </r>
  <r>
    <d v="2025-07-04T00:00:00"/>
    <n v="8191"/>
    <n v="3171"/>
    <n v="2377.65"/>
    <n v="5549.09"/>
    <n v="792.93"/>
    <n v="792.93"/>
    <n v="1584.72"/>
    <n v="0"/>
    <n v="264.69"/>
    <n v="0"/>
    <x v="14"/>
  </r>
  <r>
    <d v="2025-07-05T00:00:00"/>
    <n v="4679"/>
    <n v="2004"/>
    <n v="1530.41"/>
    <n v="3098.91"/>
    <n v="473.82"/>
    <n v="582.76"/>
    <n v="893.52"/>
    <n v="0"/>
    <n v="103.59"/>
    <n v="0"/>
    <x v="14"/>
  </r>
  <r>
    <d v="2025-07-06T00:00:00"/>
    <n v="2533"/>
    <n v="1195"/>
    <n v="926.78"/>
    <n v="1637.34"/>
    <n v="268.42"/>
    <n v="389.95"/>
    <n v="476.44"/>
    <n v="0"/>
    <n v="29.08"/>
    <n v="0"/>
    <x v="14"/>
  </r>
  <r>
    <d v="2025-07-07T00:00:00"/>
    <n v="2927"/>
    <n v="1518"/>
    <n v="1192.5899999999999"/>
    <n v="1842.45"/>
    <n v="325.37"/>
    <n v="542.29"/>
    <n v="542.29"/>
    <n v="0"/>
    <n v="0"/>
    <n v="0"/>
    <x v="14"/>
  </r>
  <r>
    <d v="2025-07-08T00:00:00"/>
    <n v="3159"/>
    <n v="2142"/>
    <n v="1830.44"/>
    <n v="2159.1"/>
    <n v="311.7"/>
    <n v="617.57000000000005"/>
    <n v="382.2"/>
    <n v="0"/>
    <n v="0"/>
    <n v="0"/>
    <x v="14"/>
  </r>
  <r>
    <d v="2025-07-09T00:00:00"/>
    <n v="5224"/>
    <n v="4571"/>
    <n v="4135.8500000000004"/>
    <n v="3918.4"/>
    <n v="434.94"/>
    <n v="1088.3399999999999"/>
    <n v="217.47"/>
    <n v="0"/>
    <n v="0"/>
    <n v="0"/>
    <x v="14"/>
  </r>
  <r>
    <d v="2025-07-10T00:00:00"/>
    <n v="9257"/>
    <n v="4932"/>
    <n v="4414.2"/>
    <n v="6284.31"/>
    <n v="517.9"/>
    <n v="1802"/>
    <n v="1170.5899999999999"/>
    <n v="0"/>
    <n v="0"/>
    <n v="0"/>
    <x v="15"/>
  </r>
  <r>
    <d v="2025-07-11T00:00:00"/>
    <n v="12557"/>
    <n v="3721"/>
    <n v="3255.2"/>
    <n v="7905.63"/>
    <n v="465.49"/>
    <n v="2325.84"/>
    <n v="2325.84"/>
    <n v="0"/>
    <n v="0"/>
    <n v="0"/>
    <x v="15"/>
  </r>
  <r>
    <d v="2025-07-12T00:00:00"/>
    <n v="7374"/>
    <n v="3040"/>
    <n v="2842.25"/>
    <n v="4825.3100000000004"/>
    <n v="197.89"/>
    <n v="1314.37"/>
    <n v="1234.18"/>
    <n v="0"/>
    <n v="0"/>
    <n v="0"/>
    <x v="15"/>
  </r>
  <r>
    <d v="2025-07-13T00:00:00"/>
    <n v="3651"/>
    <n v="2011"/>
    <n v="1957.7"/>
    <n v="2496.9499999999998"/>
    <n v="53.8"/>
    <n v="620.66"/>
    <n v="532.89"/>
    <n v="0"/>
    <n v="0"/>
    <n v="0"/>
    <x v="15"/>
  </r>
  <r>
    <d v="2025-07-14T00:00:00"/>
    <n v="2264"/>
    <n v="1630"/>
    <n v="1630.03"/>
    <n v="1630.03"/>
    <n v="0"/>
    <n v="362.14"/>
    <n v="271.8"/>
    <n v="0"/>
    <n v="0"/>
    <n v="0"/>
    <x v="15"/>
  </r>
  <r>
    <d v="2025-07-15T00:00:00"/>
    <n v="741"/>
    <n v="790"/>
    <n v="720.64"/>
    <n v="494.36"/>
    <n v="69.66"/>
    <n v="123.4"/>
    <n v="122.94"/>
    <n v="0"/>
    <n v="0"/>
    <n v="0"/>
    <x v="15"/>
  </r>
  <r>
    <d v="2025-07-16T00:00:00"/>
    <n v="198"/>
    <n v="314"/>
    <n v="267.62"/>
    <n v="116.38"/>
    <n v="46.54"/>
    <n v="34.92"/>
    <n v="46.54"/>
    <n v="0"/>
    <n v="0"/>
    <n v="0"/>
    <x v="15"/>
  </r>
  <r>
    <d v="2025-07-17T00:00:00"/>
    <n v="116"/>
    <n v="147"/>
    <n v="120.87"/>
    <n v="64.2"/>
    <n v="25.67"/>
    <n v="26.56"/>
    <n v="23.25"/>
    <n v="0"/>
    <n v="2.4500000000000002"/>
    <n v="0"/>
    <x v="16"/>
  </r>
  <r>
    <d v="2025-07-18T00:00:00"/>
    <n v="84"/>
    <n v="85"/>
    <n v="67.010000000000005"/>
    <n v="44.09"/>
    <n v="17.64"/>
    <n v="22.61"/>
    <n v="14.52"/>
    <n v="0"/>
    <n v="3.13"/>
    <n v="0"/>
    <x v="16"/>
  </r>
  <r>
    <d v="2025-07-19T00:00:00"/>
    <n v="690"/>
    <n v="552"/>
    <n v="413.96"/>
    <n v="345.03"/>
    <n v="137.99"/>
    <n v="207.04"/>
    <n v="103.46"/>
    <n v="0"/>
    <n v="34.53"/>
    <n v="0"/>
    <x v="16"/>
  </r>
  <r>
    <d v="2025-07-20T00:00:00"/>
    <n v="2774"/>
    <n v="2427"/>
    <n v="1863.4"/>
    <n v="1430.55"/>
    <n v="563.38"/>
    <n v="780.3"/>
    <n v="455.18"/>
    <n v="0"/>
    <n v="108.2"/>
    <n v="0"/>
    <x v="16"/>
  </r>
  <r>
    <d v="2025-07-21T00:00:00"/>
    <n v="3379"/>
    <n v="3232"/>
    <n v="2534"/>
    <n v="1799.51"/>
    <n v="698.12"/>
    <n v="881.25"/>
    <n v="606.23"/>
    <n v="0"/>
    <n v="91.89"/>
    <n v="0"/>
    <x v="16"/>
  </r>
  <r>
    <d v="2025-07-22T00:00:00"/>
    <n v="2463"/>
    <n v="2575"/>
    <n v="2057.52"/>
    <n v="1357.24"/>
    <n v="517.91"/>
    <n v="587.92999999999995"/>
    <n v="482.64"/>
    <n v="0"/>
    <n v="34.76"/>
    <n v="0"/>
    <x v="16"/>
  </r>
  <r>
    <d v="2025-07-23T00:00:00"/>
    <n v="2060"/>
    <n v="2354"/>
    <n v="1912.59"/>
    <n v="1177.21"/>
    <n v="441.4"/>
    <n v="441.4"/>
    <n v="441.4"/>
    <n v="0"/>
    <n v="0"/>
    <n v="0"/>
    <x v="16"/>
  </r>
  <r>
    <d v="2025-07-24T00:00:00"/>
    <n v="2032"/>
    <n v="1833"/>
    <n v="1487.25"/>
    <n v="1174.19"/>
    <n v="345.92"/>
    <n v="419.74"/>
    <n v="437.9"/>
    <n v="0"/>
    <n v="0"/>
    <n v="0"/>
    <x v="17"/>
  </r>
  <r>
    <d v="2025-07-25T00:00:00"/>
    <n v="2799"/>
    <n v="1988"/>
    <n v="1609.39"/>
    <n v="1632.37"/>
    <n v="378.17"/>
    <n v="560.55999999999995"/>
    <n v="606.51"/>
    <n v="0"/>
    <n v="0"/>
    <n v="0"/>
    <x v="17"/>
  </r>
  <r>
    <d v="2025-07-26T00:00:00"/>
    <n v="4178"/>
    <n v="2311"/>
    <n v="1866.24"/>
    <n v="2453.4899999999998"/>
    <n v="445.15"/>
    <n v="815.67"/>
    <n v="908.46"/>
    <n v="0"/>
    <n v="0"/>
    <n v="0"/>
    <x v="17"/>
  </r>
  <r>
    <d v="2025-07-27T00:00:00"/>
    <n v="5478"/>
    <n v="2316"/>
    <n v="1863.01"/>
    <n v="3236.26"/>
    <n v="452.89"/>
    <n v="1046.8699999999999"/>
    <n v="1194.97"/>
    <n v="0"/>
    <n v="0"/>
    <n v="0"/>
    <x v="17"/>
  </r>
  <r>
    <d v="2025-07-28T00:00:00"/>
    <n v="6805"/>
    <n v="2126"/>
    <n v="1701.17"/>
    <n v="4040.04"/>
    <n v="425.07"/>
    <n v="1276.0999999999999"/>
    <n v="1488.63"/>
    <n v="0"/>
    <n v="0"/>
    <n v="0"/>
    <x v="17"/>
  </r>
  <r>
    <d v="2025-07-29T00:00:00"/>
    <n v="8455"/>
    <n v="2940"/>
    <n v="2498"/>
    <n v="4972.21"/>
    <n v="442.16"/>
    <n v="1489.46"/>
    <n v="1912.25"/>
    <n v="0"/>
    <n v="80.91"/>
    <n v="0"/>
    <x v="17"/>
  </r>
  <r>
    <d v="2025-07-30T00:00:00"/>
    <n v="6717"/>
    <n v="2586"/>
    <n v="2306.21"/>
    <n v="3910.05"/>
    <n v="280.02"/>
    <n v="1102.4100000000001"/>
    <n v="1572.21"/>
    <n v="0"/>
    <n v="132.1"/>
    <n v="0"/>
    <x v="17"/>
  </r>
  <r>
    <d v="2025-07-31T00:00:00"/>
    <n v="5585"/>
    <n v="2369"/>
    <n v="2199.8000000000002"/>
    <n v="3215.6"/>
    <n v="169.4"/>
    <n v="846.2"/>
    <n v="1353.6"/>
    <n v="0"/>
    <n v="169.4"/>
    <n v="0"/>
    <x v="18"/>
  </r>
  <r>
    <d v="2025-08-01T00:00:00"/>
    <n v="4072"/>
    <n v="1728"/>
    <n v="1604"/>
    <n v="2344.96"/>
    <n v="123.52"/>
    <n v="617.01"/>
    <n v="986.99"/>
    <n v="0"/>
    <n v="123.52"/>
    <n v="0"/>
    <x v="18"/>
  </r>
  <r>
    <d v="2025-08-02T00:00:00"/>
    <n v="3933"/>
    <n v="1669"/>
    <n v="1549.24"/>
    <n v="2264.92"/>
    <n v="119.3"/>
    <n v="595.95000000000005"/>
    <n v="953.29"/>
    <n v="0"/>
    <n v="119.3"/>
    <n v="0"/>
    <x v="18"/>
  </r>
  <r>
    <d v="2025-08-03T00:00:00"/>
    <n v="3958"/>
    <n v="1679"/>
    <n v="1559.19"/>
    <n v="2278.48"/>
    <n v="120.07"/>
    <n v="599.78"/>
    <n v="959.42"/>
    <n v="0"/>
    <n v="120.07"/>
    <n v="0"/>
    <x v="18"/>
  </r>
  <r>
    <d v="2025-08-04T00:00:00"/>
    <n v="3289"/>
    <n v="1395"/>
    <n v="1295.5899999999999"/>
    <n v="1893.27"/>
    <n v="99.77"/>
    <n v="498.38"/>
    <n v="797.22"/>
    <n v="0"/>
    <n v="99.77"/>
    <n v="0"/>
    <x v="18"/>
  </r>
  <r>
    <d v="2025-08-05T00:00:00"/>
    <n v="2845"/>
    <n v="1207"/>
    <n v="1120.78"/>
    <n v="1637.82"/>
    <n v="86.31"/>
    <n v="431.13"/>
    <n v="689.65"/>
    <n v="0"/>
    <n v="86.31"/>
    <n v="0"/>
    <x v="18"/>
  </r>
  <r>
    <d v="2025-08-06T00:00:00"/>
    <n v="2376"/>
    <n v="1008"/>
    <n v="936.01"/>
    <n v="1367.81"/>
    <n v="72.08"/>
    <n v="360.06"/>
    <n v="575.96"/>
    <n v="0"/>
    <n v="72.08"/>
    <n v="0"/>
    <x v="18"/>
  </r>
  <r>
    <d v="2025-08-07T00:00:00"/>
    <n v="917"/>
    <n v="389"/>
    <n v="361.24"/>
    <n v="527.89"/>
    <n v="27.82"/>
    <n v="138.96"/>
    <n v="222.28"/>
    <n v="0"/>
    <n v="27.82"/>
    <n v="0"/>
    <x v="19"/>
  </r>
  <r>
    <d v="2025-08-08T00:00:00"/>
    <n v="1814"/>
    <n v="769"/>
    <n v="714.46"/>
    <n v="1044.05"/>
    <n v="55.02"/>
    <n v="274.83"/>
    <n v="439.63"/>
    <n v="0"/>
    <n v="55.02"/>
    <n v="0"/>
    <x v="19"/>
  </r>
  <r>
    <d v="2025-08-09T00:00:00"/>
    <n v="1305"/>
    <n v="553"/>
    <n v="513.91999999999996"/>
    <n v="751"/>
    <n v="39.58"/>
    <n v="197.69"/>
    <n v="316.23"/>
    <n v="0"/>
    <n v="39.58"/>
    <n v="0"/>
    <x v="19"/>
  </r>
  <r>
    <d v="2025-08-10T00:00:00"/>
    <n v="1385"/>
    <n v="588"/>
    <n v="545.73"/>
    <n v="797.49"/>
    <n v="42.02"/>
    <n v="209.93"/>
    <n v="335.8"/>
    <n v="0"/>
    <n v="42.02"/>
    <n v="0"/>
    <x v="19"/>
  </r>
  <r>
    <d v="2025-08-11T00:00:00"/>
    <n v="898"/>
    <n v="381"/>
    <n v="353.77"/>
    <n v="516.97"/>
    <n v="27.24"/>
    <n v="136.09"/>
    <n v="217.69"/>
    <n v="0"/>
    <n v="27.24"/>
    <n v="0"/>
    <x v="19"/>
  </r>
  <r>
    <d v="2025-08-12T00:00:00"/>
    <n v="454"/>
    <n v="192"/>
    <n v="178.68"/>
    <n v="261.11"/>
    <n v="13.76"/>
    <n v="68.73"/>
    <n v="109.95"/>
    <n v="0"/>
    <n v="13.76"/>
    <n v="0"/>
    <x v="19"/>
  </r>
  <r>
    <d v="2025-08-13T00:00:00"/>
    <n v="277"/>
    <n v="117"/>
    <n v="108.98"/>
    <n v="159.25"/>
    <n v="8.39"/>
    <n v="41.92"/>
    <n v="67.06"/>
    <n v="0"/>
    <n v="8.39"/>
    <n v="0"/>
    <x v="19"/>
  </r>
  <r>
    <d v="2025-08-14T00:00:00"/>
    <n v="210"/>
    <n v="89"/>
    <n v="82.7"/>
    <n v="120.86"/>
    <n v="6.37"/>
    <n v="31.81"/>
    <n v="50.89"/>
    <n v="0"/>
    <n v="6.37"/>
    <n v="0"/>
    <x v="20"/>
  </r>
  <r>
    <d v="2025-08-15T00:00:00"/>
    <n v="628"/>
    <n v="266"/>
    <n v="247.28"/>
    <n v="361.35"/>
    <n v="19.04"/>
    <n v="95.12"/>
    <n v="152.16"/>
    <n v="0"/>
    <n v="19.04"/>
    <n v="0"/>
    <x v="20"/>
  </r>
  <r>
    <d v="2025-08-16T00:00:00"/>
    <n v="1013"/>
    <n v="430"/>
    <n v="399.13"/>
    <n v="583.26"/>
    <n v="30.74"/>
    <n v="153.54"/>
    <n v="245.6"/>
    <n v="0"/>
    <n v="30.74"/>
    <n v="0"/>
    <x v="20"/>
  </r>
  <r>
    <d v="2025-08-17T00:00:00"/>
    <n v="1262"/>
    <n v="535"/>
    <n v="497.05"/>
    <n v="726.35"/>
    <n v="38.28"/>
    <n v="191.2"/>
    <n v="305.85000000000002"/>
    <n v="0"/>
    <n v="38.28"/>
    <n v="0"/>
    <x v="20"/>
  </r>
  <r>
    <d v="2025-08-18T00:00:00"/>
    <n v="1022"/>
    <n v="433"/>
    <n v="402.45"/>
    <n v="588.11"/>
    <n v="30.99"/>
    <n v="154.81"/>
    <n v="247.64"/>
    <n v="0"/>
    <n v="30.99"/>
    <n v="0"/>
    <x v="20"/>
  </r>
  <r>
    <d v="2025-08-19T00:00:00"/>
    <n v="1105"/>
    <n v="469"/>
    <n v="435.09"/>
    <n v="636.80999999999995"/>
    <n v="33.5"/>
    <n v="167.37"/>
    <n v="267.72000000000003"/>
    <n v="0"/>
    <n v="33.5"/>
    <n v="0"/>
    <x v="20"/>
  </r>
  <r>
    <d v="2025-08-20T00:00:00"/>
    <n v="1375"/>
    <n v="583"/>
    <n v="541.58000000000004"/>
    <n v="791.42"/>
    <n v="41.71"/>
    <n v="208.33"/>
    <n v="333.25"/>
    <n v="0"/>
    <n v="41.71"/>
    <n v="0"/>
    <x v="20"/>
  </r>
  <r>
    <d v="2025-08-21T00:00:00"/>
    <n v="1510"/>
    <n v="640"/>
    <n v="594.69000000000005"/>
    <n v="869.03"/>
    <n v="45.8"/>
    <n v="228.76"/>
    <n v="365.93"/>
    <n v="0"/>
    <n v="45.8"/>
    <n v="0"/>
    <x v="21"/>
  </r>
  <r>
    <d v="2025-08-22T00:00:00"/>
    <n v="1255"/>
    <n v="532"/>
    <n v="494.28"/>
    <n v="722.31"/>
    <n v="38.06"/>
    <n v="190.14"/>
    <n v="304.14999999999998"/>
    <n v="0"/>
    <n v="38.06"/>
    <n v="0"/>
    <x v="21"/>
  </r>
  <r>
    <d v="2025-08-23T00:00:00"/>
    <n v="1528"/>
    <n v="648"/>
    <n v="601.88"/>
    <n v="879.54"/>
    <n v="46.35"/>
    <n v="231.53"/>
    <n v="370.36"/>
    <n v="0"/>
    <n v="46.35"/>
    <n v="0"/>
    <x v="21"/>
  </r>
  <r>
    <d v="2025-08-24T00:00:00"/>
    <n v="1260"/>
    <n v="535"/>
    <n v="496.5"/>
    <n v="725.54"/>
    <n v="38.229999999999997"/>
    <n v="190.99"/>
    <n v="305.51"/>
    <n v="0"/>
    <n v="38.229999999999997"/>
    <n v="0"/>
    <x v="21"/>
  </r>
  <r>
    <d v="2025-08-25T00:00:00"/>
    <n v="705"/>
    <n v="299"/>
    <n v="277.70999999999998"/>
    <n v="405.82"/>
    <n v="21.39"/>
    <n v="106.83"/>
    <n v="170.88"/>
    <n v="0"/>
    <n v="21.39"/>
    <n v="0"/>
    <x v="21"/>
  </r>
  <r>
    <d v="2025-08-26T00:00:00"/>
    <n v="376"/>
    <n v="159"/>
    <n v="147.97999999999999"/>
    <n v="216.25"/>
    <n v="11.4"/>
    <n v="56.92"/>
    <n v="91.06"/>
    <n v="0"/>
    <n v="11.4"/>
    <n v="0"/>
    <x v="21"/>
  </r>
  <r>
    <d v="2025-08-27T00:00:00"/>
    <n v="314"/>
    <n v="133"/>
    <n v="123.64"/>
    <n v="180.68"/>
    <n v="9.52"/>
    <n v="47.56"/>
    <n v="76.08"/>
    <n v="0"/>
    <n v="9.52"/>
    <n v="0"/>
    <x v="21"/>
  </r>
  <r>
    <d v="2025-08-28T00:00:00"/>
    <n v="271"/>
    <n v="115"/>
    <n v="106.77"/>
    <n v="156.02000000000001"/>
    <n v="8.2200000000000006"/>
    <n v="41.07"/>
    <n v="65.7"/>
    <n v="0"/>
    <n v="8.2200000000000006"/>
    <n v="0"/>
    <x v="22"/>
  </r>
  <r>
    <d v="2025-08-29T00:00:00"/>
    <n v="353"/>
    <n v="150"/>
    <n v="139.13"/>
    <n v="203.31"/>
    <n v="10.71"/>
    <n v="53.52"/>
    <n v="85.61"/>
    <n v="0"/>
    <n v="10.71"/>
    <n v="0"/>
    <x v="22"/>
  </r>
  <r>
    <d v="2025-08-30T00:00:00"/>
    <n v="496"/>
    <n v="211"/>
    <n v="195.56"/>
    <n v="285.77"/>
    <n v="15.06"/>
    <n v="75.22"/>
    <n v="120.33"/>
    <n v="0"/>
    <n v="15.06"/>
    <n v="0"/>
    <x v="22"/>
  </r>
  <r>
    <d v="2025-08-31T00:00:00"/>
    <n v="401"/>
    <n v="170"/>
    <n v="157.94"/>
    <n v="230.8"/>
    <n v="12.16"/>
    <n v="60.75"/>
    <n v="97.18"/>
    <n v="0"/>
    <n v="12.16"/>
    <n v="0"/>
    <x v="22"/>
  </r>
  <r>
    <d v="2025-09-01T00:00:00"/>
    <n v="539"/>
    <n v="229"/>
    <n v="212.43"/>
    <n v="310.43"/>
    <n v="16.36"/>
    <n v="81.72"/>
    <n v="130.71"/>
    <n v="0"/>
    <n v="16.36"/>
    <n v="0"/>
    <x v="22"/>
  </r>
  <r>
    <d v="2025-09-02T00:00:00"/>
    <n v="443"/>
    <n v="188"/>
    <n v="174.53"/>
    <n v="255.05"/>
    <n v="13.44"/>
    <n v="67.14"/>
    <n v="107.4"/>
    <n v="0"/>
    <n v="13.44"/>
    <n v="0"/>
    <x v="22"/>
  </r>
  <r>
    <d v="2025-09-03T00:00:00"/>
    <n v="397"/>
    <n v="168"/>
    <n v="156.28"/>
    <n v="228.37"/>
    <n v="12.03"/>
    <n v="60.12"/>
    <n v="96.16"/>
    <n v="0"/>
    <n v="12.03"/>
    <n v="0"/>
    <x v="22"/>
  </r>
  <r>
    <d v="2025-09-04T00:00:00"/>
    <n v="393"/>
    <n v="167"/>
    <n v="154.9"/>
    <n v="226.35"/>
    <n v="11.93"/>
    <n v="59.58"/>
    <n v="95.31"/>
    <n v="0"/>
    <n v="11.93"/>
    <n v="0"/>
    <x v="23"/>
  </r>
  <r>
    <d v="2025-09-05T00:00:00"/>
    <n v="209"/>
    <n v="89"/>
    <n v="82.43"/>
    <n v="120.45"/>
    <n v="6.35"/>
    <n v="31.71"/>
    <n v="50.72"/>
    <n v="0"/>
    <n v="6.35"/>
    <n v="0"/>
    <x v="23"/>
  </r>
  <r>
    <d v="2025-09-06T00:00:00"/>
    <n v="145"/>
    <n v="61"/>
    <n v="56.98"/>
    <n v="83.27"/>
    <n v="4.3899999999999997"/>
    <n v="21.92"/>
    <n v="35.06"/>
    <n v="0"/>
    <n v="4.3899999999999997"/>
    <n v="0"/>
    <x v="23"/>
  </r>
  <r>
    <d v="2025-09-07T00:00:00"/>
    <n v="221"/>
    <n v="94"/>
    <n v="87.13"/>
    <n v="127.32"/>
    <n v="6.71"/>
    <n v="33.520000000000003"/>
    <n v="53.61"/>
    <n v="0"/>
    <n v="6.71"/>
    <n v="0"/>
    <x v="23"/>
  </r>
  <r>
    <d v="2025-09-08T00:00:00"/>
    <n v="269"/>
    <n v="114"/>
    <n v="105.94"/>
    <n v="154.81"/>
    <n v="8.16"/>
    <n v="40.75"/>
    <n v="65.19"/>
    <n v="0"/>
    <n v="8.16"/>
    <n v="0"/>
    <x v="23"/>
  </r>
  <r>
    <d v="2025-09-09T00:00:00"/>
    <n v="409"/>
    <n v="174"/>
    <n v="161.26"/>
    <n v="235.65"/>
    <n v="12.42"/>
    <n v="62.03"/>
    <n v="99.23"/>
    <n v="0"/>
    <n v="12.42"/>
    <n v="0"/>
    <x v="23"/>
  </r>
  <r>
    <d v="2025-09-10T00:00:00"/>
    <n v="395"/>
    <n v="167"/>
    <n v="155.44999999999999"/>
    <n v="227.16"/>
    <n v="11.97"/>
    <n v="59.8"/>
    <n v="95.65"/>
    <n v="0"/>
    <n v="11.97"/>
    <n v="0"/>
    <x v="23"/>
  </r>
  <r>
    <d v="2025-09-11T00:00:00"/>
    <n v="518"/>
    <n v="220"/>
    <n v="204.13"/>
    <n v="298.3"/>
    <n v="15.72"/>
    <n v="78.52"/>
    <n v="125.61"/>
    <n v="0"/>
    <n v="15.72"/>
    <n v="0"/>
    <x v="24"/>
  </r>
  <r>
    <d v="2025-09-12T00:00:00"/>
    <n v="945"/>
    <n v="401"/>
    <n v="372.3"/>
    <n v="544.04999999999995"/>
    <n v="28.67"/>
    <n v="143.21"/>
    <n v="229.09"/>
    <n v="0"/>
    <n v="28.67"/>
    <n v="0"/>
    <x v="24"/>
  </r>
  <r>
    <d v="2025-09-13T00:00:00"/>
    <n v="871"/>
    <n v="369"/>
    <n v="342.98"/>
    <n v="501.21"/>
    <n v="26.41"/>
    <n v="131.94"/>
    <n v="211.05"/>
    <n v="0"/>
    <n v="26.41"/>
    <n v="0"/>
    <x v="24"/>
  </r>
  <r>
    <d v="2025-09-14T00:00:00"/>
    <n v="496"/>
    <n v="210"/>
    <n v="195.28"/>
    <n v="285.37"/>
    <n v="15.04"/>
    <n v="75.12"/>
    <n v="120.16"/>
    <n v="0"/>
    <n v="15.04"/>
    <n v="0"/>
    <x v="24"/>
  </r>
  <r>
    <d v="2025-09-15T00:00:00"/>
    <n v="238"/>
    <n v="101"/>
    <n v="93.77"/>
    <n v="137.02000000000001"/>
    <n v="7.22"/>
    <n v="36.07"/>
    <n v="57.7"/>
    <n v="0"/>
    <n v="7.22"/>
    <n v="0"/>
    <x v="24"/>
  </r>
  <r>
    <d v="2025-09-16T00:00:00"/>
    <n v="248"/>
    <n v="105"/>
    <n v="97.64"/>
    <n v="142.68"/>
    <n v="7.52"/>
    <n v="37.56"/>
    <n v="60.08"/>
    <n v="0"/>
    <n v="7.52"/>
    <n v="0"/>
    <x v="24"/>
  </r>
  <r>
    <d v="2025-09-17T00:00:00"/>
    <n v="203"/>
    <n v="86"/>
    <n v="79.94"/>
    <n v="116.81"/>
    <n v="6.16"/>
    <n v="30.75"/>
    <n v="49.19"/>
    <n v="0"/>
    <n v="6.16"/>
    <n v="0"/>
    <x v="24"/>
  </r>
  <r>
    <d v="2025-09-18T00:00:00"/>
    <n v="121"/>
    <n v="51"/>
    <n v="47.58"/>
    <n v="69.52"/>
    <n v="3.66"/>
    <n v="18.3"/>
    <n v="29.27"/>
    <n v="0"/>
    <n v="3.66"/>
    <n v="0"/>
    <x v="25"/>
  </r>
  <r>
    <d v="2025-09-19T00:00:00"/>
    <n v="143"/>
    <n v="60"/>
    <n v="56.15"/>
    <n v="82.05"/>
    <n v="4.32"/>
    <n v="21.6"/>
    <n v="34.549999999999997"/>
    <n v="0"/>
    <n v="4.32"/>
    <n v="0"/>
    <x v="25"/>
  </r>
  <r>
    <d v="2025-09-20T00:00:00"/>
    <n v="79"/>
    <n v="33"/>
    <n v="30.98"/>
    <n v="45.27"/>
    <n v="2.39"/>
    <n v="11.92"/>
    <n v="19.059999999999999"/>
    <n v="0"/>
    <n v="2.39"/>
    <n v="0"/>
    <x v="25"/>
  </r>
  <r>
    <d v="2025-09-21T00:00:00"/>
    <n v="65"/>
    <n v="27"/>
    <n v="25.45"/>
    <n v="37.19"/>
    <n v="1.96"/>
    <n v="9.7899999999999991"/>
    <n v="15.66"/>
    <n v="0"/>
    <n v="1.96"/>
    <n v="0"/>
    <x v="25"/>
  </r>
  <r>
    <d v="2025-09-22T00:00:00"/>
    <n v="44"/>
    <n v="19"/>
    <n v="17.43"/>
    <n v="25.46"/>
    <n v="1.34"/>
    <n v="6.7"/>
    <n v="10.72"/>
    <n v="0"/>
    <n v="1.34"/>
    <n v="0"/>
    <x v="25"/>
  </r>
  <r>
    <d v="2025-09-23T00:00:00"/>
    <n v="29"/>
    <n v="12"/>
    <n v="11.34"/>
    <n v="16.57"/>
    <n v="0.87"/>
    <n v="4.3600000000000003"/>
    <n v="6.98"/>
    <n v="0"/>
    <n v="0.87"/>
    <n v="0"/>
    <x v="25"/>
  </r>
  <r>
    <d v="2025-09-24T00:00:00"/>
    <n v="37"/>
    <n v="16"/>
    <n v="14.66"/>
    <n v="21.42"/>
    <n v="1.1299999999999999"/>
    <n v="5.64"/>
    <n v="9.02"/>
    <n v="0"/>
    <n v="1.1299999999999999"/>
    <n v="0"/>
    <x v="25"/>
  </r>
  <r>
    <d v="2025-09-25T00:00:00"/>
    <n v="44"/>
    <n v="18"/>
    <n v="17.149999999999999"/>
    <n v="25.06"/>
    <n v="1.32"/>
    <n v="6.6"/>
    <n v="10.55"/>
    <n v="0"/>
    <n v="1.32"/>
    <n v="0"/>
    <x v="26"/>
  </r>
  <r>
    <d v="2025-09-26T00:00:00"/>
    <n v="32"/>
    <n v="13"/>
    <n v="12.45"/>
    <n v="18.190000000000001"/>
    <n v="0.96"/>
    <n v="4.79"/>
    <n v="7.66"/>
    <n v="0"/>
    <n v="0.96"/>
    <n v="0"/>
    <x v="26"/>
  </r>
  <r>
    <d v="2025-09-27T00:00:00"/>
    <n v="55"/>
    <n v="23"/>
    <n v="21.57"/>
    <n v="31.53"/>
    <n v="1.66"/>
    <n v="8.3000000000000007"/>
    <n v="13.28"/>
    <n v="0"/>
    <n v="1.66"/>
    <n v="0"/>
    <x v="26"/>
  </r>
  <r>
    <d v="2025-09-28T00:00:00"/>
    <n v="34"/>
    <n v="15"/>
    <n v="13.55"/>
    <n v="19.809999999999999"/>
    <n v="1.04"/>
    <n v="5.21"/>
    <n v="8.34"/>
    <n v="0"/>
    <n v="1.04"/>
    <n v="0"/>
    <x v="26"/>
  </r>
  <r>
    <d v="2025-09-29T00:00:00"/>
    <n v="93"/>
    <n v="40"/>
    <n v="36.79"/>
    <n v="53.76"/>
    <n v="2.83"/>
    <n v="14.15"/>
    <n v="22.64"/>
    <n v="0"/>
    <n v="2.83"/>
    <n v="0"/>
    <x v="26"/>
  </r>
  <r>
    <d v="2025-09-30T00:00:00"/>
    <n v="61"/>
    <n v="26"/>
    <n v="24.06"/>
    <n v="35.17"/>
    <n v="1.85"/>
    <n v="9.26"/>
    <n v="14.81"/>
    <n v="0"/>
    <n v="1.85"/>
    <n v="0"/>
    <x v="26"/>
  </r>
  <r>
    <d v="2025-10-01T00:00:00"/>
    <n v="80"/>
    <n v="34"/>
    <n v="31.53"/>
    <n v="46.08"/>
    <n v="2.4300000000000002"/>
    <n v="12.13"/>
    <n v="19.399999999999999"/>
    <n v="0"/>
    <n v="2.4300000000000002"/>
    <n v="0"/>
    <x v="26"/>
  </r>
  <r>
    <d v="2025-10-02T00:00:00"/>
    <n v="10"/>
    <n v="4"/>
    <n v="3.87"/>
    <n v="5.66"/>
    <n v="0.3"/>
    <n v="1.49"/>
    <n v="2.38"/>
    <n v="0"/>
    <n v="0.3"/>
    <n v="0"/>
    <x v="27"/>
  </r>
  <r>
    <d v="2025-10-03T00:00:00"/>
    <n v="50"/>
    <n v="21"/>
    <n v="19.64"/>
    <n v="28.7"/>
    <n v="1.51"/>
    <n v="7.55"/>
    <n v="12.08"/>
    <n v="0"/>
    <n v="1.51"/>
    <n v="0"/>
    <x v="27"/>
  </r>
  <r>
    <d v="2025-10-04T00:00:00"/>
    <n v="55"/>
    <n v="23"/>
    <n v="21.57"/>
    <n v="31.53"/>
    <n v="1.66"/>
    <n v="8.3000000000000007"/>
    <n v="13.28"/>
    <n v="0"/>
    <n v="1.66"/>
    <n v="0"/>
    <x v="27"/>
  </r>
  <r>
    <d v="2025-10-05T00:00:00"/>
    <n v="52"/>
    <n v="22"/>
    <n v="20.47"/>
    <n v="29.91"/>
    <n v="1.58"/>
    <n v="7.87"/>
    <n v="12.59"/>
    <n v="0"/>
    <n v="1.58"/>
    <n v="0"/>
    <x v="27"/>
  </r>
  <r>
    <d v="2025-10-06T00:00:00"/>
    <n v="19"/>
    <n v="8"/>
    <n v="7.47"/>
    <n v="10.91"/>
    <n v="0.57999999999999996"/>
    <n v="2.87"/>
    <n v="4.5999999999999996"/>
    <n v="0"/>
    <n v="0.57999999999999996"/>
    <n v="0"/>
    <x v="27"/>
  </r>
  <r>
    <d v="2025-10-07T00:00:00"/>
    <n v="15"/>
    <n v="6"/>
    <n v="5.81"/>
    <n v="8.49"/>
    <n v="0.45"/>
    <n v="2.23"/>
    <n v="3.57"/>
    <n v="0"/>
    <n v="0.45"/>
    <n v="0"/>
    <x v="27"/>
  </r>
  <r>
    <d v="2025-10-08T00:00:00"/>
    <n v="22"/>
    <n v="9"/>
    <n v="8.57"/>
    <n v="12.53"/>
    <n v="0.66"/>
    <n v="3.3"/>
    <n v="5.28"/>
    <n v="0"/>
    <n v="0.66"/>
    <n v="0"/>
    <x v="27"/>
  </r>
  <r>
    <d v="2025-10-09T00:00:00"/>
    <n v="15"/>
    <n v="6"/>
    <n v="5.81"/>
    <n v="8.49"/>
    <n v="0.45"/>
    <n v="2.23"/>
    <n v="3.57"/>
    <n v="0"/>
    <n v="0.45"/>
    <n v="0"/>
    <x v="28"/>
  </r>
  <r>
    <d v="2025-10-10T00:00:00"/>
    <n v="4"/>
    <n v="2"/>
    <n v="1.66"/>
    <n v="2.4300000000000002"/>
    <n v="0.13"/>
    <n v="0.64"/>
    <n v="1.02"/>
    <n v="0"/>
    <n v="0.13"/>
    <n v="0"/>
    <x v="28"/>
  </r>
  <r>
    <d v="2025-10-11T00:00:00"/>
    <n v="10"/>
    <n v="4"/>
    <n v="3.87"/>
    <n v="5.66"/>
    <n v="0.3"/>
    <n v="1.49"/>
    <n v="2.38"/>
    <n v="0"/>
    <n v="0.3"/>
    <n v="0"/>
    <x v="28"/>
  </r>
  <r>
    <d v="2025-10-12T00:00:00"/>
    <n v="11"/>
    <n v="4"/>
    <n v="4.1500000000000004"/>
    <n v="6.06"/>
    <n v="0.32"/>
    <n v="1.6"/>
    <n v="2.5499999999999998"/>
    <n v="0"/>
    <n v="0.32"/>
    <n v="0"/>
    <x v="28"/>
  </r>
  <r>
    <d v="2025-10-13T00:00:00"/>
    <n v="1"/>
    <n v="1"/>
    <n v="0.55000000000000004"/>
    <n v="0.81"/>
    <n v="0.04"/>
    <n v="0.21"/>
    <n v="0.34"/>
    <n v="0"/>
    <n v="0.04"/>
    <n v="0"/>
    <x v="28"/>
  </r>
  <r>
    <d v="2025-10-14T00:00:00"/>
    <n v="4"/>
    <n v="1"/>
    <n v="1.38"/>
    <n v="2.02"/>
    <n v="0.11"/>
    <n v="0.53"/>
    <n v="0.85"/>
    <n v="0"/>
    <n v="0.11"/>
    <n v="0"/>
    <x v="28"/>
  </r>
  <r>
    <d v="2025-10-15T00:00:00"/>
    <n v="1"/>
    <n v="1"/>
    <n v="0.55000000000000004"/>
    <n v="0.81"/>
    <n v="0.04"/>
    <n v="0.21"/>
    <n v="0.34"/>
    <n v="0"/>
    <n v="0.04"/>
    <n v="0"/>
    <x v="28"/>
  </r>
  <r>
    <d v="2025-10-16T00:00:00"/>
    <n v="4"/>
    <n v="1"/>
    <n v="1.38"/>
    <n v="2.02"/>
    <n v="0.11"/>
    <n v="0.53"/>
    <n v="0.85"/>
    <n v="0"/>
    <n v="0.11"/>
    <n v="0"/>
    <x v="29"/>
  </r>
  <r>
    <d v="2025-10-17T00:00:00"/>
    <n v="7"/>
    <n v="3"/>
    <n v="2.77"/>
    <n v="4.04"/>
    <n v="0.21"/>
    <n v="1.06"/>
    <n v="1.7"/>
    <n v="0"/>
    <n v="0.21"/>
    <n v="0"/>
    <x v="29"/>
  </r>
  <r>
    <d v="2025-10-18T00:00:00"/>
    <n v="4"/>
    <n v="2"/>
    <n v="1.66"/>
    <n v="2.4300000000000002"/>
    <n v="0.13"/>
    <n v="0.64"/>
    <n v="1.02"/>
    <n v="0"/>
    <n v="0.13"/>
    <n v="0"/>
    <x v="29"/>
  </r>
  <r>
    <d v="2025-10-19T00:00:00"/>
    <n v="1"/>
    <n v="1"/>
    <n v="0.55000000000000004"/>
    <n v="0.81"/>
    <n v="0.04"/>
    <n v="0.21"/>
    <n v="0.34"/>
    <n v="0"/>
    <n v="0.04"/>
    <n v="0"/>
    <x v="29"/>
  </r>
  <r>
    <d v="2025-10-20T00:00:00"/>
    <n v="32"/>
    <n v="13"/>
    <n v="12.45"/>
    <n v="18.190000000000001"/>
    <n v="0.96"/>
    <n v="4.79"/>
    <n v="7.66"/>
    <n v="0"/>
    <n v="0.96"/>
    <n v="0"/>
    <x v="29"/>
  </r>
  <r>
    <d v="2025-10-21T00:00:00"/>
    <n v="11"/>
    <n v="4"/>
    <n v="4.1500000000000004"/>
    <n v="6.06"/>
    <n v="0.32"/>
    <n v="1.6"/>
    <n v="2.5499999999999998"/>
    <n v="0"/>
    <n v="0.32"/>
    <n v="0"/>
    <x v="29"/>
  </r>
  <r>
    <d v="2025-10-22T00:00:00"/>
    <n v="13"/>
    <n v="6"/>
    <n v="5.26"/>
    <n v="7.68"/>
    <n v="0.4"/>
    <n v="2.02"/>
    <n v="3.23"/>
    <n v="0"/>
    <n v="0.4"/>
    <n v="0"/>
    <x v="29"/>
  </r>
  <r>
    <d v="2025-10-23T00:00:00"/>
    <n v="5"/>
    <n v="2"/>
    <n v="1.94"/>
    <n v="2.83"/>
    <n v="0.15"/>
    <n v="0.74"/>
    <n v="1.19"/>
    <n v="0"/>
    <n v="0.15"/>
    <n v="0"/>
    <x v="30"/>
  </r>
  <r>
    <d v="2025-10-24T00:00:00"/>
    <n v="0"/>
    <n v="0"/>
    <n v="0"/>
    <n v="0"/>
    <n v="0"/>
    <n v="0"/>
    <n v="0"/>
    <n v="0"/>
    <n v="0"/>
    <n v="0"/>
    <x v="3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0">
  <r>
    <d v="2025-03-25T00:00:00"/>
    <n v="1"/>
    <n v="0"/>
    <n v="0.15"/>
    <n v="0.48"/>
    <n v="0"/>
    <n v="0.27"/>
    <n v="0.1"/>
    <n v="0"/>
    <n v="0"/>
    <n v="0"/>
    <x v="0"/>
  </r>
  <r>
    <d v="2025-03-26T00:00:00"/>
    <n v="1"/>
    <n v="0"/>
    <n v="0.15"/>
    <n v="0.48"/>
    <n v="0"/>
    <n v="0.27"/>
    <n v="0.1"/>
    <n v="0"/>
    <n v="0"/>
    <n v="0"/>
    <x v="0"/>
  </r>
  <r>
    <d v="2025-03-27T00:00:00"/>
    <n v="0"/>
    <n v="0"/>
    <n v="0"/>
    <n v="0"/>
    <n v="0"/>
    <n v="0"/>
    <n v="0"/>
    <n v="0"/>
    <n v="0"/>
    <n v="0"/>
    <x v="1"/>
  </r>
  <r>
    <d v="2025-03-28T00:00:00"/>
    <n v="0"/>
    <n v="0"/>
    <n v="0"/>
    <n v="0"/>
    <n v="0"/>
    <n v="0"/>
    <n v="0"/>
    <n v="0"/>
    <n v="0"/>
    <n v="0"/>
    <x v="1"/>
  </r>
  <r>
    <d v="2025-03-29T00:00:00"/>
    <n v="0"/>
    <n v="0"/>
    <n v="0"/>
    <n v="0"/>
    <n v="0"/>
    <n v="0"/>
    <n v="0"/>
    <n v="0"/>
    <n v="0"/>
    <n v="0"/>
    <x v="1"/>
  </r>
  <r>
    <d v="2025-03-30T00:00:00"/>
    <n v="0"/>
    <n v="0"/>
    <n v="0"/>
    <n v="0"/>
    <n v="0"/>
    <n v="0"/>
    <n v="0"/>
    <n v="0"/>
    <n v="0"/>
    <n v="0"/>
    <x v="1"/>
  </r>
  <r>
    <d v="2025-03-31T00:00:00"/>
    <n v="0"/>
    <n v="0"/>
    <n v="0"/>
    <n v="0"/>
    <n v="0"/>
    <n v="0"/>
    <n v="0"/>
    <n v="0"/>
    <n v="0"/>
    <n v="0"/>
    <x v="1"/>
  </r>
  <r>
    <d v="2025-04-01T00:00:00"/>
    <n v="0"/>
    <n v="0"/>
    <n v="0"/>
    <n v="0"/>
    <n v="0"/>
    <n v="0"/>
    <n v="0"/>
    <n v="0"/>
    <n v="0"/>
    <n v="0"/>
    <x v="1"/>
  </r>
  <r>
    <d v="2025-04-02T00:00:00"/>
    <n v="1"/>
    <n v="0"/>
    <n v="0.15"/>
    <n v="0.48"/>
    <n v="0"/>
    <n v="0.27"/>
    <n v="0.1"/>
    <n v="0"/>
    <n v="0"/>
    <n v="0"/>
    <x v="1"/>
  </r>
  <r>
    <d v="2025-04-03T00:00:00"/>
    <n v="2"/>
    <n v="0"/>
    <n v="0.3"/>
    <n v="0.97"/>
    <n v="0"/>
    <n v="0.53"/>
    <n v="0.2"/>
    <n v="0"/>
    <n v="0"/>
    <n v="0"/>
    <x v="2"/>
  </r>
  <r>
    <d v="2025-04-04T00:00:00"/>
    <n v="2"/>
    <n v="0"/>
    <n v="0.3"/>
    <n v="0.97"/>
    <n v="0"/>
    <n v="0.53"/>
    <n v="0.2"/>
    <n v="0"/>
    <n v="0"/>
    <n v="0"/>
    <x v="2"/>
  </r>
  <r>
    <d v="2025-04-05T00:00:00"/>
    <n v="1"/>
    <n v="0"/>
    <n v="0.15"/>
    <n v="0.48"/>
    <n v="0"/>
    <n v="0.27"/>
    <n v="0.1"/>
    <n v="0"/>
    <n v="0"/>
    <n v="0"/>
    <x v="2"/>
  </r>
  <r>
    <d v="2025-04-06T00:00:00"/>
    <n v="2"/>
    <n v="0"/>
    <n v="0.3"/>
    <n v="0.97"/>
    <n v="0"/>
    <n v="0.53"/>
    <n v="0.2"/>
    <n v="0"/>
    <n v="0"/>
    <n v="0"/>
    <x v="2"/>
  </r>
  <r>
    <d v="2025-04-07T00:00:00"/>
    <n v="0"/>
    <n v="0"/>
    <n v="0"/>
    <n v="0"/>
    <n v="0"/>
    <n v="0"/>
    <n v="0"/>
    <n v="0"/>
    <n v="0"/>
    <n v="0"/>
    <x v="2"/>
  </r>
  <r>
    <d v="2025-04-08T00:00:00"/>
    <n v="0"/>
    <n v="0"/>
    <n v="0"/>
    <n v="0"/>
    <n v="0"/>
    <n v="0"/>
    <n v="0"/>
    <n v="0"/>
    <n v="0"/>
    <n v="0"/>
    <x v="2"/>
  </r>
  <r>
    <d v="2025-04-09T00:00:00"/>
    <n v="1"/>
    <n v="0"/>
    <n v="0.15"/>
    <n v="0.48"/>
    <n v="0"/>
    <n v="0.27"/>
    <n v="0.1"/>
    <n v="0"/>
    <n v="0"/>
    <n v="0"/>
    <x v="2"/>
  </r>
  <r>
    <d v="2025-04-10T00:00:00"/>
    <n v="0"/>
    <n v="0"/>
    <n v="0"/>
    <n v="0"/>
    <n v="0"/>
    <n v="0"/>
    <n v="0"/>
    <n v="0"/>
    <n v="0"/>
    <n v="0"/>
    <x v="3"/>
  </r>
  <r>
    <d v="2025-04-11T00:00:00"/>
    <n v="0"/>
    <n v="0"/>
    <n v="0"/>
    <n v="0"/>
    <n v="0"/>
    <n v="0"/>
    <n v="0"/>
    <n v="0"/>
    <n v="0"/>
    <n v="0"/>
    <x v="3"/>
  </r>
  <r>
    <d v="2025-04-12T00:00:00"/>
    <n v="1"/>
    <n v="0"/>
    <n v="0.15"/>
    <n v="0.48"/>
    <n v="0"/>
    <n v="0.27"/>
    <n v="0.1"/>
    <n v="0"/>
    <n v="0"/>
    <n v="0"/>
    <x v="3"/>
  </r>
  <r>
    <d v="2025-04-13T00:00:00"/>
    <n v="0"/>
    <n v="0"/>
    <n v="0"/>
    <n v="0"/>
    <n v="0"/>
    <n v="0"/>
    <n v="0"/>
    <n v="0"/>
    <n v="0"/>
    <n v="0"/>
    <x v="3"/>
  </r>
  <r>
    <d v="2025-04-14T00:00:00"/>
    <n v="0"/>
    <n v="0"/>
    <n v="0"/>
    <n v="0"/>
    <n v="0"/>
    <n v="0"/>
    <n v="0"/>
    <n v="0"/>
    <n v="0"/>
    <n v="0"/>
    <x v="3"/>
  </r>
  <r>
    <d v="2025-04-15T00:00:00"/>
    <n v="0"/>
    <n v="0"/>
    <n v="0"/>
    <n v="0"/>
    <n v="0"/>
    <n v="0"/>
    <n v="0"/>
    <n v="0"/>
    <n v="0"/>
    <n v="0"/>
    <x v="3"/>
  </r>
  <r>
    <d v="2025-04-16T00:00:00"/>
    <n v="0"/>
    <n v="0"/>
    <n v="0"/>
    <n v="0"/>
    <n v="0"/>
    <n v="0"/>
    <n v="0"/>
    <n v="0"/>
    <n v="0"/>
    <n v="0"/>
    <x v="3"/>
  </r>
  <r>
    <d v="2025-04-17T00:00:00"/>
    <n v="0"/>
    <n v="0"/>
    <n v="0"/>
    <n v="0"/>
    <n v="0"/>
    <n v="0"/>
    <n v="0"/>
    <n v="0"/>
    <n v="0"/>
    <n v="0"/>
    <x v="4"/>
  </r>
  <r>
    <d v="2025-04-18T00:00:00"/>
    <n v="0"/>
    <n v="0"/>
    <n v="0"/>
    <n v="0"/>
    <n v="0"/>
    <n v="0"/>
    <n v="0"/>
    <n v="0"/>
    <n v="0"/>
    <n v="0"/>
    <x v="4"/>
  </r>
  <r>
    <d v="2025-04-19T00:00:00"/>
    <n v="0"/>
    <n v="0"/>
    <n v="0"/>
    <n v="0"/>
    <n v="0"/>
    <n v="0"/>
    <n v="0"/>
    <n v="0"/>
    <n v="0"/>
    <n v="0"/>
    <x v="4"/>
  </r>
  <r>
    <d v="2025-04-20T00:00:00"/>
    <n v="0"/>
    <n v="0"/>
    <n v="0"/>
    <n v="0"/>
    <n v="0"/>
    <n v="0"/>
    <n v="0"/>
    <n v="0"/>
    <n v="0"/>
    <n v="0"/>
    <x v="4"/>
  </r>
  <r>
    <d v="2025-04-21T00:00:00"/>
    <n v="2"/>
    <n v="0"/>
    <n v="0.3"/>
    <n v="0.97"/>
    <n v="0"/>
    <n v="0.53"/>
    <n v="0.2"/>
    <n v="0"/>
    <n v="0"/>
    <n v="0"/>
    <x v="4"/>
  </r>
  <r>
    <d v="2025-04-22T00:00:00"/>
    <n v="0"/>
    <n v="0"/>
    <n v="0"/>
    <n v="0"/>
    <n v="0"/>
    <n v="0"/>
    <n v="0"/>
    <n v="0"/>
    <n v="0"/>
    <n v="0"/>
    <x v="4"/>
  </r>
  <r>
    <d v="2025-04-23T00:00:00"/>
    <n v="0"/>
    <n v="0"/>
    <n v="0"/>
    <n v="0"/>
    <n v="0"/>
    <n v="0"/>
    <n v="0"/>
    <n v="0"/>
    <n v="0"/>
    <n v="0"/>
    <x v="4"/>
  </r>
  <r>
    <d v="2025-04-24T00:00:00"/>
    <n v="0"/>
    <n v="0"/>
    <n v="0"/>
    <n v="0"/>
    <n v="0"/>
    <n v="0"/>
    <n v="0"/>
    <n v="0"/>
    <n v="0"/>
    <n v="0"/>
    <x v="5"/>
  </r>
  <r>
    <d v="2025-04-25T00:00:00"/>
    <n v="3"/>
    <n v="1"/>
    <n v="0.6"/>
    <n v="1.93"/>
    <n v="0"/>
    <n v="1.07"/>
    <n v="0.4"/>
    <n v="0"/>
    <n v="0"/>
    <n v="0"/>
    <x v="5"/>
  </r>
  <r>
    <d v="2025-04-26T00:00:00"/>
    <n v="1"/>
    <n v="0"/>
    <n v="0.15"/>
    <n v="0.48"/>
    <n v="0"/>
    <n v="0.27"/>
    <n v="0.1"/>
    <n v="0"/>
    <n v="0"/>
    <n v="0"/>
    <x v="5"/>
  </r>
  <r>
    <d v="2025-04-27T00:00:00"/>
    <n v="1"/>
    <n v="0"/>
    <n v="0.15"/>
    <n v="0.48"/>
    <n v="0"/>
    <n v="0.27"/>
    <n v="0.1"/>
    <n v="0"/>
    <n v="0"/>
    <n v="0"/>
    <x v="5"/>
  </r>
  <r>
    <d v="2025-04-28T00:00:00"/>
    <n v="3"/>
    <n v="0"/>
    <n v="0.45"/>
    <n v="1.45"/>
    <n v="0"/>
    <n v="0.8"/>
    <n v="0.3"/>
    <n v="0"/>
    <n v="0"/>
    <n v="0"/>
    <x v="5"/>
  </r>
  <r>
    <d v="2025-04-29T00:00:00"/>
    <n v="1"/>
    <n v="0"/>
    <n v="0.15"/>
    <n v="0.48"/>
    <n v="0"/>
    <n v="0.27"/>
    <n v="0.1"/>
    <n v="0"/>
    <n v="0"/>
    <n v="0"/>
    <x v="5"/>
  </r>
  <r>
    <d v="2025-04-30T00:00:00"/>
    <n v="3"/>
    <n v="0"/>
    <n v="0.45"/>
    <n v="1.45"/>
    <n v="0"/>
    <n v="0.8"/>
    <n v="0.3"/>
    <n v="0"/>
    <n v="0"/>
    <n v="0"/>
    <x v="5"/>
  </r>
  <r>
    <d v="2025-05-01T00:00:00"/>
    <n v="2"/>
    <n v="0"/>
    <n v="0.3"/>
    <n v="0.97"/>
    <n v="0"/>
    <n v="0.53"/>
    <n v="0.2"/>
    <n v="0"/>
    <n v="0"/>
    <n v="0"/>
    <x v="6"/>
  </r>
  <r>
    <d v="2025-05-02T00:00:00"/>
    <n v="3"/>
    <n v="0"/>
    <n v="0.45"/>
    <n v="1.45"/>
    <n v="0"/>
    <n v="0.8"/>
    <n v="0.3"/>
    <n v="0"/>
    <n v="0"/>
    <n v="0"/>
    <x v="6"/>
  </r>
  <r>
    <d v="2025-05-03T00:00:00"/>
    <n v="2"/>
    <n v="0"/>
    <n v="0.3"/>
    <n v="0.97"/>
    <n v="0"/>
    <n v="0.53"/>
    <n v="0.2"/>
    <n v="0"/>
    <n v="0"/>
    <n v="0"/>
    <x v="6"/>
  </r>
  <r>
    <d v="2025-05-04T00:00:00"/>
    <n v="1"/>
    <n v="0"/>
    <n v="0.15"/>
    <n v="0.48"/>
    <n v="0"/>
    <n v="0.27"/>
    <n v="0.1"/>
    <n v="0"/>
    <n v="0"/>
    <n v="0"/>
    <x v="6"/>
  </r>
  <r>
    <d v="2025-05-05T00:00:00"/>
    <n v="1"/>
    <n v="0"/>
    <n v="0.15"/>
    <n v="0.48"/>
    <n v="0"/>
    <n v="0.27"/>
    <n v="0.1"/>
    <n v="0"/>
    <n v="0"/>
    <n v="0"/>
    <x v="6"/>
  </r>
  <r>
    <d v="2025-05-06T00:00:00"/>
    <n v="1"/>
    <n v="0"/>
    <n v="0.15"/>
    <n v="0.48"/>
    <n v="0"/>
    <n v="0.27"/>
    <n v="0.1"/>
    <n v="0"/>
    <n v="0"/>
    <n v="0"/>
    <x v="6"/>
  </r>
  <r>
    <d v="2025-05-07T00:00:00"/>
    <n v="1"/>
    <n v="0"/>
    <n v="0.15"/>
    <n v="0.48"/>
    <n v="0"/>
    <n v="0.27"/>
    <n v="0.1"/>
    <n v="0"/>
    <n v="0"/>
    <n v="0"/>
    <x v="6"/>
  </r>
  <r>
    <d v="2025-05-08T00:00:00"/>
    <n v="2"/>
    <n v="0"/>
    <n v="0.3"/>
    <n v="0.97"/>
    <n v="0"/>
    <n v="0.53"/>
    <n v="0.2"/>
    <n v="0"/>
    <n v="0"/>
    <n v="0"/>
    <x v="7"/>
  </r>
  <r>
    <d v="2025-05-09T00:00:00"/>
    <n v="0"/>
    <n v="0"/>
    <n v="0"/>
    <n v="0"/>
    <n v="0"/>
    <n v="0"/>
    <n v="0"/>
    <n v="0"/>
    <n v="0"/>
    <n v="0"/>
    <x v="7"/>
  </r>
  <r>
    <d v="2025-05-10T00:00:00"/>
    <n v="4"/>
    <n v="1"/>
    <n v="0.75"/>
    <n v="2.42"/>
    <n v="0"/>
    <n v="1.33"/>
    <n v="0.5"/>
    <n v="0"/>
    <n v="0"/>
    <n v="0"/>
    <x v="7"/>
  </r>
  <r>
    <d v="2025-05-11T00:00:00"/>
    <n v="1"/>
    <n v="0"/>
    <n v="0.15"/>
    <n v="0.48"/>
    <n v="0"/>
    <n v="0.27"/>
    <n v="0.1"/>
    <n v="0"/>
    <n v="0"/>
    <n v="0"/>
    <x v="7"/>
  </r>
  <r>
    <d v="2025-05-12T00:00:00"/>
    <n v="4"/>
    <n v="1"/>
    <n v="0.75"/>
    <n v="2.42"/>
    <n v="0"/>
    <n v="1.33"/>
    <n v="0.5"/>
    <n v="0"/>
    <n v="0"/>
    <n v="0"/>
    <x v="7"/>
  </r>
  <r>
    <d v="2025-05-13T00:00:00"/>
    <n v="1"/>
    <n v="0"/>
    <n v="0.15"/>
    <n v="0.48"/>
    <n v="0"/>
    <n v="0.27"/>
    <n v="0.1"/>
    <n v="0"/>
    <n v="0"/>
    <n v="0"/>
    <x v="7"/>
  </r>
  <r>
    <d v="2025-05-14T00:00:00"/>
    <n v="5"/>
    <n v="1"/>
    <n v="0.9"/>
    <n v="2.9"/>
    <n v="0"/>
    <n v="1.6"/>
    <n v="0.6"/>
    <n v="0"/>
    <n v="0"/>
    <n v="0"/>
    <x v="7"/>
  </r>
  <r>
    <d v="2025-05-15T00:00:00"/>
    <n v="2"/>
    <n v="0"/>
    <n v="0.3"/>
    <n v="0.97"/>
    <n v="0"/>
    <n v="0.53"/>
    <n v="0.2"/>
    <n v="0"/>
    <n v="0"/>
    <n v="0"/>
    <x v="8"/>
  </r>
  <r>
    <d v="2025-05-16T00:00:00"/>
    <n v="3"/>
    <n v="1"/>
    <n v="0.6"/>
    <n v="1.93"/>
    <n v="0"/>
    <n v="1.07"/>
    <n v="0.4"/>
    <n v="0"/>
    <n v="0"/>
    <n v="0"/>
    <x v="8"/>
  </r>
  <r>
    <d v="2025-05-17T00:00:00"/>
    <n v="3"/>
    <n v="0"/>
    <n v="0.45"/>
    <n v="1.45"/>
    <n v="0"/>
    <n v="0.8"/>
    <n v="0.3"/>
    <n v="0"/>
    <n v="0"/>
    <n v="0"/>
    <x v="8"/>
  </r>
  <r>
    <d v="2025-05-18T00:00:00"/>
    <n v="3"/>
    <n v="1"/>
    <n v="0.6"/>
    <n v="1.93"/>
    <n v="0"/>
    <n v="1.07"/>
    <n v="0.4"/>
    <n v="0"/>
    <n v="0"/>
    <n v="0"/>
    <x v="8"/>
  </r>
  <r>
    <d v="2025-05-19T00:00:00"/>
    <n v="13"/>
    <n v="2"/>
    <n v="2.25"/>
    <n v="7.25"/>
    <n v="0"/>
    <n v="4"/>
    <n v="1.5"/>
    <n v="0"/>
    <n v="0"/>
    <n v="0"/>
    <x v="8"/>
  </r>
  <r>
    <d v="2025-05-20T00:00:00"/>
    <n v="8"/>
    <n v="1"/>
    <n v="1.35"/>
    <n v="4.3499999999999996"/>
    <n v="0"/>
    <n v="2.4"/>
    <n v="0.9"/>
    <n v="0"/>
    <n v="0"/>
    <n v="0"/>
    <x v="8"/>
  </r>
  <r>
    <d v="2025-05-21T00:00:00"/>
    <n v="10"/>
    <n v="2"/>
    <n v="1.8"/>
    <n v="5.8"/>
    <n v="0"/>
    <n v="3.2"/>
    <n v="1.2"/>
    <n v="0"/>
    <n v="0"/>
    <n v="0"/>
    <x v="8"/>
  </r>
  <r>
    <d v="2025-05-22T00:00:00"/>
    <n v="3"/>
    <n v="1"/>
    <n v="0.6"/>
    <n v="1.93"/>
    <n v="0"/>
    <n v="1.07"/>
    <n v="0.4"/>
    <n v="0"/>
    <n v="0"/>
    <n v="0"/>
    <x v="9"/>
  </r>
  <r>
    <d v="2025-05-23T00:00:00"/>
    <n v="25"/>
    <n v="4"/>
    <n v="4.3499999999999996"/>
    <n v="14.02"/>
    <n v="0"/>
    <n v="7.73"/>
    <n v="2.9"/>
    <n v="0"/>
    <n v="0"/>
    <n v="0"/>
    <x v="9"/>
  </r>
  <r>
    <d v="2025-05-24T00:00:00"/>
    <n v="20"/>
    <n v="3"/>
    <n v="3.45"/>
    <n v="11.12"/>
    <n v="0"/>
    <n v="6.13"/>
    <n v="2.2999999999999998"/>
    <n v="0"/>
    <n v="0"/>
    <n v="0"/>
    <x v="9"/>
  </r>
  <r>
    <d v="2025-05-25T00:00:00"/>
    <n v="41"/>
    <n v="7"/>
    <n v="7.2"/>
    <n v="23.2"/>
    <n v="0"/>
    <n v="12.8"/>
    <n v="4.8"/>
    <n v="0"/>
    <n v="0"/>
    <n v="0"/>
    <x v="9"/>
  </r>
  <r>
    <d v="2025-05-26T00:00:00"/>
    <n v="36"/>
    <n v="6"/>
    <n v="6.3"/>
    <n v="20.3"/>
    <n v="0"/>
    <n v="11.2"/>
    <n v="4.2"/>
    <n v="0"/>
    <n v="0"/>
    <n v="0"/>
    <x v="9"/>
  </r>
  <r>
    <d v="2025-05-27T00:00:00"/>
    <n v="20"/>
    <n v="4"/>
    <n v="3.6"/>
    <n v="11.6"/>
    <n v="0"/>
    <n v="6.4"/>
    <n v="2.4"/>
    <n v="0"/>
    <n v="0"/>
    <n v="0"/>
    <x v="9"/>
  </r>
  <r>
    <d v="2025-05-28T00:00:00"/>
    <n v="18"/>
    <n v="3"/>
    <n v="3.15"/>
    <n v="10.15"/>
    <n v="0"/>
    <n v="5.6"/>
    <n v="2.1"/>
    <n v="0"/>
    <n v="0"/>
    <n v="0"/>
    <x v="9"/>
  </r>
  <r>
    <d v="2025-05-29T00:00:00"/>
    <n v="48"/>
    <n v="8"/>
    <n v="8.4"/>
    <n v="27.06"/>
    <n v="0"/>
    <n v="14.94"/>
    <n v="5.6"/>
    <n v="0"/>
    <n v="0"/>
    <n v="0"/>
    <x v="10"/>
  </r>
  <r>
    <d v="2025-05-30T00:00:00"/>
    <n v="52"/>
    <n v="9"/>
    <n v="9.15"/>
    <n v="29.48"/>
    <n v="0"/>
    <n v="16.27"/>
    <n v="6.1"/>
    <n v="0"/>
    <n v="0"/>
    <n v="0"/>
    <x v="10"/>
  </r>
  <r>
    <d v="2025-05-31T00:00:00"/>
    <n v="93"/>
    <n v="16"/>
    <n v="16.350000000000001"/>
    <n v="52.68"/>
    <n v="0"/>
    <n v="29.07"/>
    <n v="10.9"/>
    <n v="0"/>
    <n v="0"/>
    <n v="0"/>
    <x v="10"/>
  </r>
  <r>
    <d v="2025-06-01T00:00:00"/>
    <n v="90"/>
    <n v="16"/>
    <n v="15.9"/>
    <n v="51.23"/>
    <n v="0"/>
    <n v="28.27"/>
    <n v="10.6"/>
    <n v="0"/>
    <n v="0"/>
    <n v="0"/>
    <x v="10"/>
  </r>
  <r>
    <d v="2025-06-02T00:00:00"/>
    <n v="57"/>
    <n v="10"/>
    <n v="10.050000000000001"/>
    <n v="32.380000000000003"/>
    <n v="0"/>
    <n v="17.87"/>
    <n v="6.7"/>
    <n v="0"/>
    <n v="0"/>
    <n v="0"/>
    <x v="10"/>
  </r>
  <r>
    <d v="2025-06-03T00:00:00"/>
    <n v="110"/>
    <n v="19"/>
    <n v="19.350000000000001"/>
    <n v="62.35"/>
    <n v="0"/>
    <n v="34.4"/>
    <n v="12.9"/>
    <n v="0"/>
    <n v="0"/>
    <n v="0"/>
    <x v="10"/>
  </r>
  <r>
    <d v="2025-06-04T00:00:00"/>
    <n v="118"/>
    <n v="21"/>
    <n v="20.85"/>
    <n v="67.180000000000007"/>
    <n v="0"/>
    <n v="37.07"/>
    <n v="13.9"/>
    <n v="0"/>
    <n v="0"/>
    <n v="0"/>
    <x v="10"/>
  </r>
  <r>
    <d v="2025-06-05T00:00:00"/>
    <n v="35"/>
    <n v="6"/>
    <n v="6.15"/>
    <n v="19.82"/>
    <n v="0"/>
    <n v="10.93"/>
    <n v="4.0999999999999996"/>
    <n v="0"/>
    <n v="0"/>
    <n v="0"/>
    <x v="11"/>
  </r>
  <r>
    <d v="2025-06-06T00:00:00"/>
    <n v="138"/>
    <n v="24"/>
    <n v="24.3"/>
    <n v="78.290000000000006"/>
    <n v="0"/>
    <n v="43.21"/>
    <n v="16.2"/>
    <n v="0"/>
    <n v="0"/>
    <n v="0"/>
    <x v="11"/>
  </r>
  <r>
    <d v="2025-06-07T00:00:00"/>
    <n v="178"/>
    <n v="32"/>
    <n v="31.5"/>
    <n v="101.49"/>
    <n v="0"/>
    <n v="56.01"/>
    <n v="21"/>
    <n v="0"/>
    <n v="0"/>
    <n v="0"/>
    <x v="11"/>
  </r>
  <r>
    <d v="2025-06-08T00:00:00"/>
    <n v="125"/>
    <n v="22"/>
    <n v="22.05"/>
    <n v="71.05"/>
    <n v="0"/>
    <n v="39.200000000000003"/>
    <n v="14.7"/>
    <n v="0"/>
    <n v="0"/>
    <n v="0"/>
    <x v="11"/>
  </r>
  <r>
    <d v="2025-06-09T00:00:00"/>
    <n v="100"/>
    <n v="18"/>
    <n v="17.7"/>
    <n v="57.03"/>
    <n v="0"/>
    <n v="31.47"/>
    <n v="11.8"/>
    <n v="0"/>
    <n v="0"/>
    <n v="0"/>
    <x v="11"/>
  </r>
  <r>
    <d v="2025-06-10T00:00:00"/>
    <n v="77"/>
    <n v="14"/>
    <n v="13.65"/>
    <n v="43.98"/>
    <n v="0"/>
    <n v="24.27"/>
    <n v="9.1"/>
    <n v="0"/>
    <n v="0"/>
    <n v="0"/>
    <x v="11"/>
  </r>
  <r>
    <d v="2025-06-11T00:00:00"/>
    <n v="61"/>
    <n v="11"/>
    <n v="10.8"/>
    <n v="34.799999999999997"/>
    <n v="0"/>
    <n v="19.2"/>
    <n v="7.2"/>
    <n v="0"/>
    <n v="0"/>
    <n v="0"/>
    <x v="11"/>
  </r>
  <r>
    <d v="2025-06-12T00:00:00"/>
    <n v="129"/>
    <n v="23"/>
    <n v="22.8"/>
    <n v="73.459999999999994"/>
    <n v="0"/>
    <n v="40.54"/>
    <n v="15.2"/>
    <n v="0"/>
    <n v="0"/>
    <n v="0"/>
    <x v="12"/>
  </r>
  <r>
    <d v="2025-06-13T00:00:00"/>
    <n v="357"/>
    <n v="63"/>
    <n v="63"/>
    <n v="202.99"/>
    <n v="0"/>
    <n v="112.01"/>
    <n v="42"/>
    <n v="0"/>
    <n v="0"/>
    <n v="0"/>
    <x v="12"/>
  </r>
  <r>
    <d v="2025-06-14T00:00:00"/>
    <n v="358"/>
    <n v="63"/>
    <n v="63.15"/>
    <n v="203.47"/>
    <n v="0"/>
    <n v="112.28"/>
    <n v="42.1"/>
    <n v="0"/>
    <n v="0"/>
    <n v="0"/>
    <x v="12"/>
  </r>
  <r>
    <d v="2025-06-15T00:00:00"/>
    <n v="495"/>
    <n v="91"/>
    <n v="84.62"/>
    <n v="293.52999999999997"/>
    <n v="6.21"/>
    <n v="151.47999999999999"/>
    <n v="47.06"/>
    <n v="0"/>
    <n v="3.11"/>
    <n v="0"/>
    <x v="12"/>
  </r>
  <r>
    <d v="2025-06-16T00:00:00"/>
    <n v="864"/>
    <n v="165"/>
    <n v="142.83000000000001"/>
    <n v="533.33000000000004"/>
    <n v="21.92"/>
    <n v="257.66000000000003"/>
    <n v="62.36"/>
    <n v="0"/>
    <n v="10.91"/>
    <n v="0"/>
    <x v="12"/>
  </r>
  <r>
    <d v="2025-06-17T00:00:00"/>
    <n v="3683"/>
    <n v="728"/>
    <n v="587.54999999999995"/>
    <n v="2362.9699999999998"/>
    <n v="140.71"/>
    <n v="1068.3399999999999"/>
    <n v="180.85"/>
    <n v="0"/>
    <n v="70.58"/>
    <n v="0"/>
    <x v="12"/>
  </r>
  <r>
    <d v="2025-06-18T00:00:00"/>
    <n v="1665"/>
    <n v="342"/>
    <n v="256.29000000000002"/>
    <n v="1110.07"/>
    <n v="85.5"/>
    <n v="469.64"/>
    <n v="42.75"/>
    <n v="0"/>
    <n v="42.75"/>
    <n v="0"/>
    <x v="12"/>
  </r>
  <r>
    <d v="2025-06-19T00:00:00"/>
    <n v="1125"/>
    <n v="240"/>
    <n v="211.17"/>
    <n v="858.45"/>
    <n v="29.07"/>
    <n v="221.81"/>
    <n v="30.03"/>
    <n v="0"/>
    <n v="14.47"/>
    <n v="0"/>
    <x v="13"/>
  </r>
  <r>
    <d v="2025-06-20T00:00:00"/>
    <n v="3375"/>
    <n v="750"/>
    <n v="750.11"/>
    <n v="2906.18"/>
    <n v="0"/>
    <n v="375.05"/>
    <n v="93.66"/>
    <n v="0"/>
    <n v="0"/>
    <n v="0"/>
    <x v="13"/>
  </r>
  <r>
    <d v="2025-06-21T00:00:00"/>
    <n v="2313"/>
    <n v="796"/>
    <n v="795.65"/>
    <n v="1945.36"/>
    <n v="0"/>
    <n v="298.68"/>
    <n v="47.24"/>
    <n v="0"/>
    <n v="22.07"/>
    <n v="0"/>
    <x v="13"/>
  </r>
  <r>
    <d v="2025-06-22T00:00:00"/>
    <n v="3112"/>
    <n v="1534"/>
    <n v="1533.64"/>
    <n v="2540.9"/>
    <n v="0"/>
    <n v="470.18"/>
    <n v="35.31"/>
    <n v="0"/>
    <n v="65.97"/>
    <n v="0"/>
    <x v="13"/>
  </r>
  <r>
    <d v="2025-06-23T00:00:00"/>
    <n v="2192"/>
    <n v="1487"/>
    <n v="1487.42"/>
    <n v="1721.77"/>
    <n v="0"/>
    <n v="391.45"/>
    <n v="0"/>
    <n v="0"/>
    <n v="78.36"/>
    <n v="0"/>
    <x v="13"/>
  </r>
  <r>
    <d v="2025-06-24T00:00:00"/>
    <n v="1274"/>
    <n v="619"/>
    <n v="585.5"/>
    <n v="983.79"/>
    <n v="33.880000000000003"/>
    <n v="235.87"/>
    <n v="33.880000000000003"/>
    <n v="0"/>
    <n v="20.07"/>
    <n v="0"/>
    <x v="13"/>
  </r>
  <r>
    <d v="2025-06-25T00:00:00"/>
    <n v="736"/>
    <n v="245"/>
    <n v="210.23"/>
    <n v="560.54"/>
    <n v="35.020000000000003"/>
    <n v="140.18"/>
    <n v="35.020000000000003"/>
    <n v="0"/>
    <n v="0"/>
    <n v="0"/>
    <x v="13"/>
  </r>
  <r>
    <d v="2025-06-26T00:00:00"/>
    <n v="942"/>
    <n v="578"/>
    <n v="486.25"/>
    <n v="692.97"/>
    <n v="91.81"/>
    <n v="221.77"/>
    <n v="27.21"/>
    <n v="0"/>
    <n v="0"/>
    <n v="0"/>
    <x v="14"/>
  </r>
  <r>
    <d v="2025-06-27T00:00:00"/>
    <n v="1083"/>
    <n v="1130"/>
    <n v="941.85"/>
    <n v="753.31"/>
    <n v="188.33"/>
    <n v="329.52"/>
    <n v="0"/>
    <n v="0"/>
    <n v="0"/>
    <n v="0"/>
    <x v="14"/>
  </r>
  <r>
    <d v="2025-06-28T00:00:00"/>
    <n v="696"/>
    <n v="728"/>
    <n v="635.66999999999996"/>
    <n v="444.57"/>
    <n v="91.85"/>
    <n v="218.73"/>
    <n v="22.07"/>
    <n v="0"/>
    <n v="11.11"/>
    <n v="0"/>
    <x v="14"/>
  </r>
  <r>
    <d v="2025-06-29T00:00:00"/>
    <n v="741"/>
    <n v="775"/>
    <n v="708.58"/>
    <n v="430.54"/>
    <n v="66.55"/>
    <n v="239.83"/>
    <n v="47"/>
    <n v="0"/>
    <n v="23.5"/>
    <n v="0"/>
    <x v="14"/>
  </r>
  <r>
    <d v="2025-06-30T00:00:00"/>
    <n v="1769"/>
    <n v="1853"/>
    <n v="1768.62"/>
    <n v="926.51"/>
    <n v="84.39"/>
    <n v="589.66"/>
    <n v="168.42"/>
    <n v="0"/>
    <n v="84.39"/>
    <n v="0"/>
    <x v="14"/>
  </r>
  <r>
    <d v="2025-07-01T00:00:00"/>
    <n v="1094"/>
    <n v="1165"/>
    <n v="1093.81"/>
    <n v="605.19000000000005"/>
    <n v="71.38"/>
    <n v="342.01"/>
    <n v="120.4"/>
    <n v="0"/>
    <n v="26.2"/>
    <n v="0"/>
    <x v="14"/>
  </r>
  <r>
    <d v="2025-07-02T00:00:00"/>
    <n v="806"/>
    <n v="874"/>
    <n v="806.4"/>
    <n v="470.4"/>
    <n v="67.2"/>
    <n v="235.2"/>
    <n v="100.8"/>
    <n v="0"/>
    <n v="0"/>
    <n v="0"/>
    <x v="14"/>
  </r>
  <r>
    <d v="2025-07-03T00:00:00"/>
    <n v="1542"/>
    <n v="1998"/>
    <n v="1850"/>
    <n v="1034.3900000000001"/>
    <n v="147.62"/>
    <n v="363.2"/>
    <n v="144.79"/>
    <n v="0"/>
    <n v="0"/>
    <n v="0"/>
    <x v="15"/>
  </r>
  <r>
    <d v="2025-07-04T00:00:00"/>
    <n v="1169"/>
    <n v="1819"/>
    <n v="1689.12"/>
    <n v="909.25"/>
    <n v="129.97999999999999"/>
    <n v="194.82"/>
    <n v="64.84"/>
    <n v="0"/>
    <n v="0"/>
    <n v="0"/>
    <x v="15"/>
  </r>
  <r>
    <d v="2025-07-05T00:00:00"/>
    <n v="1093"/>
    <n v="1461"/>
    <n v="1377.37"/>
    <n v="730.44"/>
    <n v="83.26"/>
    <n v="247.74"/>
    <n v="90.67"/>
    <n v="0"/>
    <n v="24.52"/>
    <n v="0"/>
    <x v="15"/>
  </r>
  <r>
    <d v="2025-07-06T00:00:00"/>
    <n v="545"/>
    <n v="627"/>
    <n v="601.70000000000005"/>
    <n v="313.63"/>
    <n v="25.43"/>
    <n v="150.94999999999999"/>
    <n v="57.78"/>
    <n v="0"/>
    <n v="22.5"/>
    <n v="0"/>
    <x v="15"/>
  </r>
  <r>
    <d v="2025-07-07T00:00:00"/>
    <n v="457"/>
    <n v="454"/>
    <n v="444.11"/>
    <n v="227.02"/>
    <n v="9.93"/>
    <n v="146.22"/>
    <n v="57.48"/>
    <n v="0"/>
    <n v="26.24"/>
    <n v="0"/>
    <x v="15"/>
  </r>
  <r>
    <d v="2025-07-08T00:00:00"/>
    <n v="630"/>
    <n v="540"/>
    <n v="539.96"/>
    <n v="270.04000000000002"/>
    <n v="0"/>
    <n v="224.99"/>
    <n v="89.97"/>
    <n v="0"/>
    <n v="45.05"/>
    <n v="0"/>
    <x v="15"/>
  </r>
  <r>
    <d v="2025-07-09T00:00:00"/>
    <n v="846"/>
    <n v="829"/>
    <n v="817.9"/>
    <n v="408.87"/>
    <n v="11.56"/>
    <n v="284.58"/>
    <n v="109.21"/>
    <n v="0"/>
    <n v="42.88"/>
    <n v="0"/>
    <x v="15"/>
  </r>
  <r>
    <d v="2025-07-10T00:00:00"/>
    <n v="1580"/>
    <n v="1774"/>
    <n v="1727.31"/>
    <n v="863.66"/>
    <n v="46.62"/>
    <n v="494.38"/>
    <n v="179.1"/>
    <n v="0"/>
    <n v="42.93"/>
    <n v="0"/>
    <x v="16"/>
  </r>
  <r>
    <d v="2025-07-11T00:00:00"/>
    <n v="1683"/>
    <n v="2163"/>
    <n v="2083.38"/>
    <n v="1041.5"/>
    <n v="80"/>
    <n v="480.75"/>
    <n v="160.38"/>
    <n v="0"/>
    <n v="0"/>
    <n v="0"/>
    <x v="16"/>
  </r>
  <r>
    <d v="2025-07-12T00:00:00"/>
    <n v="1400"/>
    <n v="2014"/>
    <n v="1890.33"/>
    <n v="1021.13"/>
    <n v="123.25"/>
    <n v="284.39"/>
    <n v="94.91"/>
    <n v="0"/>
    <n v="0"/>
    <n v="0"/>
    <x v="16"/>
  </r>
  <r>
    <d v="2025-07-13T00:00:00"/>
    <n v="467"/>
    <n v="753"/>
    <n v="690.15"/>
    <n v="399.31"/>
    <n v="62.71"/>
    <n v="50.87"/>
    <n v="16.96"/>
    <n v="0"/>
    <n v="0"/>
    <n v="0"/>
    <x v="16"/>
  </r>
  <r>
    <d v="2025-07-14T00:00:00"/>
    <n v="238"/>
    <n v="431"/>
    <n v="386.48"/>
    <n v="237.9"/>
    <n v="44.62"/>
    <n v="0"/>
    <n v="0"/>
    <n v="0"/>
    <n v="0"/>
    <n v="0"/>
    <x v="16"/>
  </r>
  <r>
    <d v="2025-07-15T00:00:00"/>
    <n v="217"/>
    <n v="384"/>
    <n v="345.27"/>
    <n v="204.7"/>
    <n v="38.4"/>
    <n v="8.41"/>
    <n v="2.1"/>
    <n v="0"/>
    <n v="2.1"/>
    <n v="0"/>
    <x v="16"/>
  </r>
  <r>
    <d v="2025-07-16T00:00:00"/>
    <n v="86"/>
    <n v="148"/>
    <n v="133.66"/>
    <n v="76.19"/>
    <n v="14.3"/>
    <n v="6.58"/>
    <n v="1.64"/>
    <n v="0"/>
    <n v="1.64"/>
    <n v="0"/>
    <x v="16"/>
  </r>
  <r>
    <d v="2025-07-17T00:00:00"/>
    <n v="89"/>
    <n v="149"/>
    <n v="135.21"/>
    <n v="73.92"/>
    <n v="13.85"/>
    <n v="10.02"/>
    <n v="2.5"/>
    <n v="0"/>
    <n v="2.5"/>
    <n v="0"/>
    <x v="17"/>
  </r>
  <r>
    <d v="2025-07-18T00:00:00"/>
    <n v="41"/>
    <n v="66"/>
    <n v="60.43"/>
    <n v="31.64"/>
    <n v="5.93"/>
    <n v="6"/>
    <n v="1.5"/>
    <n v="0"/>
    <n v="1.5"/>
    <n v="0"/>
    <x v="17"/>
  </r>
  <r>
    <d v="2025-07-19T00:00:00"/>
    <n v="137"/>
    <n v="219"/>
    <n v="199.89"/>
    <n v="99.93"/>
    <n v="18.73"/>
    <n v="24.99"/>
    <n v="6.23"/>
    <n v="0"/>
    <n v="6.23"/>
    <n v="0"/>
    <x v="17"/>
  </r>
  <r>
    <d v="2025-07-20T00:00:00"/>
    <n v="424"/>
    <n v="793"/>
    <n v="700.38"/>
    <n v="300.95999999999998"/>
    <n v="92.74"/>
    <n v="81.900000000000006"/>
    <n v="24.95"/>
    <n v="0"/>
    <n v="16.059999999999999"/>
    <n v="0"/>
    <x v="17"/>
  </r>
  <r>
    <d v="2025-07-21T00:00:00"/>
    <n v="756"/>
    <n v="1677"/>
    <n v="1434.25"/>
    <n v="520.41999999999996"/>
    <n v="242.81"/>
    <n v="156.93"/>
    <n v="57.18"/>
    <n v="0"/>
    <n v="21.41"/>
    <n v="0"/>
    <x v="17"/>
  </r>
  <r>
    <d v="2025-07-22T00:00:00"/>
    <n v="576"/>
    <n v="1533"/>
    <n v="1272.78"/>
    <n v="380.67"/>
    <n v="260.45999999999998"/>
    <n v="130.13"/>
    <n v="55.68"/>
    <n v="0"/>
    <n v="9.2799999999999994"/>
    <n v="0"/>
    <x v="17"/>
  </r>
  <r>
    <d v="2025-07-23T00:00:00"/>
    <n v="261"/>
    <n v="848"/>
    <n v="684.92"/>
    <n v="163.13"/>
    <n v="163.13"/>
    <n v="65.209999999999994"/>
    <n v="32.6"/>
    <n v="0"/>
    <n v="0"/>
    <n v="0"/>
    <x v="17"/>
  </r>
  <r>
    <d v="2025-07-24T00:00:00"/>
    <n v="461"/>
    <n v="950"/>
    <n v="813.02"/>
    <n v="300.68"/>
    <n v="136.58000000000001"/>
    <n v="107.09"/>
    <n v="53.62"/>
    <n v="0"/>
    <n v="0"/>
    <n v="0"/>
    <x v="18"/>
  </r>
  <r>
    <d v="2025-07-25T00:00:00"/>
    <n v="454"/>
    <n v="631"/>
    <n v="580.37"/>
    <n v="302.82"/>
    <n v="50.45"/>
    <n v="100.91"/>
    <n v="50.45"/>
    <n v="0"/>
    <n v="0"/>
    <n v="0"/>
    <x v="18"/>
  </r>
  <r>
    <d v="2025-07-26T00:00:00"/>
    <n v="327"/>
    <n v="412"/>
    <n v="363.07"/>
    <n v="221.33"/>
    <n v="49.14"/>
    <n v="77.3"/>
    <n v="28.16"/>
    <n v="0"/>
    <n v="0"/>
    <n v="0"/>
    <x v="18"/>
  </r>
  <r>
    <d v="2025-07-27T00:00:00"/>
    <n v="528"/>
    <n v="605"/>
    <n v="507.36"/>
    <n v="362.56"/>
    <n v="97.89"/>
    <n v="131.54"/>
    <n v="33.65"/>
    <n v="0"/>
    <n v="0"/>
    <n v="0"/>
    <x v="18"/>
  </r>
  <r>
    <d v="2025-07-28T00:00:00"/>
    <n v="1259"/>
    <n v="1314"/>
    <n v="1040.01"/>
    <n v="875.85"/>
    <n v="273.77"/>
    <n v="328.57"/>
    <n v="54.8"/>
    <n v="0"/>
    <n v="0"/>
    <n v="0"/>
    <x v="18"/>
  </r>
  <r>
    <d v="2025-07-29T00:00:00"/>
    <n v="1338"/>
    <n v="1257"/>
    <n v="1033.33"/>
    <n v="903.58"/>
    <n v="223.43"/>
    <n v="358.37"/>
    <n v="56.57"/>
    <n v="0"/>
    <n v="19.72"/>
    <n v="0"/>
    <x v="18"/>
  </r>
  <r>
    <d v="2025-07-30T00:00:00"/>
    <n v="814"/>
    <n v="689"/>
    <n v="589.63"/>
    <n v="534.91999999999996"/>
    <n v="98.9"/>
    <n v="223.35"/>
    <n v="33.369999999999997"/>
    <n v="0"/>
    <n v="22.85"/>
    <n v="0"/>
    <x v="18"/>
  </r>
  <r>
    <d v="2025-07-31T00:00:00"/>
    <n v="389"/>
    <n v="295"/>
    <n v="264.3"/>
    <n v="248.7"/>
    <n v="31.12"/>
    <n v="108.82"/>
    <n v="15.53"/>
    <n v="0"/>
    <n v="15.53"/>
    <n v="0"/>
    <x v="19"/>
  </r>
  <r>
    <d v="2025-08-01T00:00:00"/>
    <n v="191"/>
    <n v="146"/>
    <n v="130.22"/>
    <n v="122.53"/>
    <n v="15.33"/>
    <n v="53.62"/>
    <n v="7.65"/>
    <n v="0"/>
    <n v="7.65"/>
    <n v="0"/>
    <x v="19"/>
  </r>
  <r>
    <d v="2025-08-02T00:00:00"/>
    <n v="207"/>
    <n v="157"/>
    <n v="140.65"/>
    <n v="132.35"/>
    <n v="16.559999999999999"/>
    <n v="57.91"/>
    <n v="8.26"/>
    <n v="0"/>
    <n v="8.26"/>
    <n v="0"/>
    <x v="19"/>
  </r>
  <r>
    <d v="2025-08-03T00:00:00"/>
    <n v="383"/>
    <n v="291"/>
    <n v="260.43"/>
    <n v="245.07"/>
    <n v="30.67"/>
    <n v="107.23"/>
    <n v="15.3"/>
    <n v="0"/>
    <n v="15.3"/>
    <n v="0"/>
    <x v="19"/>
  </r>
  <r>
    <d v="2025-08-04T00:00:00"/>
    <n v="176"/>
    <n v="133"/>
    <n v="119.4"/>
    <n v="112.35"/>
    <n v="14.06"/>
    <n v="49.16"/>
    <n v="7.01"/>
    <n v="0"/>
    <n v="7.01"/>
    <n v="0"/>
    <x v="19"/>
  </r>
  <r>
    <d v="2025-08-05T00:00:00"/>
    <n v="193"/>
    <n v="146"/>
    <n v="130.99"/>
    <n v="123.26"/>
    <n v="15.42"/>
    <n v="53.93"/>
    <n v="7.7"/>
    <n v="0"/>
    <n v="7.7"/>
    <n v="0"/>
    <x v="19"/>
  </r>
  <r>
    <d v="2025-08-06T00:00:00"/>
    <n v="921"/>
    <n v="701"/>
    <n v="626.74"/>
    <n v="589.76"/>
    <n v="73.8"/>
    <n v="258.06"/>
    <n v="36.82"/>
    <n v="0"/>
    <n v="36.82"/>
    <n v="0"/>
    <x v="19"/>
  </r>
  <r>
    <d v="2025-08-07T00:00:00"/>
    <n v="761"/>
    <n v="578"/>
    <n v="517.39"/>
    <n v="486.86"/>
    <n v="60.92"/>
    <n v="213.03"/>
    <n v="30.4"/>
    <n v="0"/>
    <n v="30.4"/>
    <n v="0"/>
    <x v="20"/>
  </r>
  <r>
    <d v="2025-08-08T00:00:00"/>
    <n v="485"/>
    <n v="369"/>
    <n v="329.99"/>
    <n v="310.51"/>
    <n v="38.86"/>
    <n v="135.87"/>
    <n v="19.39"/>
    <n v="0"/>
    <n v="19.39"/>
    <n v="0"/>
    <x v="20"/>
  </r>
  <r>
    <d v="2025-08-09T00:00:00"/>
    <n v="261"/>
    <n v="199"/>
    <n v="177.74"/>
    <n v="167.26"/>
    <n v="20.93"/>
    <n v="73.19"/>
    <n v="10.44"/>
    <n v="0"/>
    <n v="10.44"/>
    <n v="0"/>
    <x v="20"/>
  </r>
  <r>
    <d v="2025-08-10T00:00:00"/>
    <n v="280"/>
    <n v="213"/>
    <n v="190.5"/>
    <n v="179.25"/>
    <n v="22.43"/>
    <n v="78.44"/>
    <n v="11.19"/>
    <n v="0"/>
    <n v="11.19"/>
    <n v="0"/>
    <x v="20"/>
  </r>
  <r>
    <d v="2025-08-11T00:00:00"/>
    <n v="256"/>
    <n v="195"/>
    <n v="174.27"/>
    <n v="163.98"/>
    <n v="20.52"/>
    <n v="71.75"/>
    <n v="10.24"/>
    <n v="0"/>
    <n v="10.24"/>
    <n v="0"/>
    <x v="20"/>
  </r>
  <r>
    <d v="2025-08-12T00:00:00"/>
    <n v="82"/>
    <n v="63"/>
    <n v="56.03"/>
    <n v="52.72"/>
    <n v="6.6"/>
    <n v="23.07"/>
    <n v="3.29"/>
    <n v="0"/>
    <n v="3.29"/>
    <n v="0"/>
    <x v="20"/>
  </r>
  <r>
    <d v="2025-08-13T00:00:00"/>
    <n v="53"/>
    <n v="41"/>
    <n v="36.32"/>
    <n v="34.18"/>
    <n v="4.28"/>
    <n v="14.96"/>
    <n v="2.13"/>
    <n v="0"/>
    <n v="2.13"/>
    <n v="0"/>
    <x v="20"/>
  </r>
  <r>
    <d v="2025-08-14T00:00:00"/>
    <n v="49"/>
    <n v="38"/>
    <n v="33.619999999999997"/>
    <n v="31.63"/>
    <n v="3.96"/>
    <n v="13.84"/>
    <n v="1.97"/>
    <n v="0"/>
    <n v="1.97"/>
    <n v="0"/>
    <x v="21"/>
  </r>
  <r>
    <d v="2025-08-15T00:00:00"/>
    <n v="22"/>
    <n v="16"/>
    <n v="14.68"/>
    <n v="13.82"/>
    <n v="1.73"/>
    <n v="6.05"/>
    <n v="0.86"/>
    <n v="0"/>
    <n v="0.86"/>
    <n v="0"/>
    <x v="21"/>
  </r>
  <r>
    <d v="2025-08-16T00:00:00"/>
    <n v="186"/>
    <n v="142"/>
    <n v="126.74"/>
    <n v="119.26"/>
    <n v="14.92"/>
    <n v="52.18"/>
    <n v="7.45"/>
    <n v="0"/>
    <n v="7.45"/>
    <n v="0"/>
    <x v="21"/>
  </r>
  <r>
    <d v="2025-08-17T00:00:00"/>
    <n v="148"/>
    <n v="112"/>
    <n v="100.46"/>
    <n v="94.54"/>
    <n v="11.83"/>
    <n v="41.37"/>
    <n v="5.9"/>
    <n v="0"/>
    <n v="5.9"/>
    <n v="0"/>
    <x v="21"/>
  </r>
  <r>
    <d v="2025-08-18T00:00:00"/>
    <n v="254"/>
    <n v="193"/>
    <n v="172.72"/>
    <n v="162.53"/>
    <n v="20.34"/>
    <n v="71.12"/>
    <n v="10.15"/>
    <n v="0"/>
    <n v="10.15"/>
    <n v="0"/>
    <x v="21"/>
  </r>
  <r>
    <d v="2025-08-19T00:00:00"/>
    <n v="101"/>
    <n v="77"/>
    <n v="68.78"/>
    <n v="64.72"/>
    <n v="8.1"/>
    <n v="28.32"/>
    <n v="4.04"/>
    <n v="0"/>
    <n v="4.04"/>
    <n v="0"/>
    <x v="21"/>
  </r>
  <r>
    <d v="2025-08-20T00:00:00"/>
    <n v="210"/>
    <n v="160"/>
    <n v="142.97"/>
    <n v="134.53"/>
    <n v="16.84"/>
    <n v="58.87"/>
    <n v="8.4"/>
    <n v="0"/>
    <n v="8.4"/>
    <n v="0"/>
    <x v="21"/>
  </r>
  <r>
    <d v="2025-08-21T00:00:00"/>
    <n v="270"/>
    <n v="206"/>
    <n v="183.93"/>
    <n v="173.07"/>
    <n v="21.66"/>
    <n v="75.73"/>
    <n v="10.81"/>
    <n v="0"/>
    <n v="10.81"/>
    <n v="0"/>
    <x v="22"/>
  </r>
  <r>
    <d v="2025-08-22T00:00:00"/>
    <n v="233"/>
    <n v="177"/>
    <n v="158.41999999999999"/>
    <n v="149.08000000000001"/>
    <n v="18.66"/>
    <n v="65.23"/>
    <n v="9.31"/>
    <n v="0"/>
    <n v="9.31"/>
    <n v="0"/>
    <x v="22"/>
  </r>
  <r>
    <d v="2025-08-23T00:00:00"/>
    <n v="209"/>
    <n v="159"/>
    <n v="142.19999999999999"/>
    <n v="133.80000000000001"/>
    <n v="16.739999999999998"/>
    <n v="58.55"/>
    <n v="8.35"/>
    <n v="0"/>
    <n v="8.35"/>
    <n v="0"/>
    <x v="22"/>
  </r>
  <r>
    <d v="2025-08-24T00:00:00"/>
    <n v="234"/>
    <n v="178"/>
    <n v="159.19999999999999"/>
    <n v="149.80000000000001"/>
    <n v="18.75"/>
    <n v="65.55"/>
    <n v="9.35"/>
    <n v="0"/>
    <n v="9.35"/>
    <n v="0"/>
    <x v="22"/>
  </r>
  <r>
    <d v="2025-08-25T00:00:00"/>
    <n v="151"/>
    <n v="114"/>
    <n v="102.4"/>
    <n v="96.35"/>
    <n v="12.06"/>
    <n v="42.16"/>
    <n v="6.02"/>
    <n v="0"/>
    <n v="6.02"/>
    <n v="0"/>
    <x v="22"/>
  </r>
  <r>
    <d v="2025-08-26T00:00:00"/>
    <n v="73"/>
    <n v="55"/>
    <n v="49.46"/>
    <n v="46.54"/>
    <n v="5.82"/>
    <n v="20.36"/>
    <n v="2.91"/>
    <n v="0"/>
    <n v="2.91"/>
    <n v="0"/>
    <x v="22"/>
  </r>
  <r>
    <d v="2025-08-27T00:00:00"/>
    <n v="40"/>
    <n v="30"/>
    <n v="27.05"/>
    <n v="25.45"/>
    <n v="3.19"/>
    <n v="11.14"/>
    <n v="1.59"/>
    <n v="0"/>
    <n v="1.59"/>
    <n v="0"/>
    <x v="22"/>
  </r>
  <r>
    <d v="2025-08-28T00:00:00"/>
    <n v="16"/>
    <n v="12"/>
    <n v="10.82"/>
    <n v="10.18"/>
    <n v="1.27"/>
    <n v="4.45"/>
    <n v="0.64"/>
    <n v="0"/>
    <n v="0.64"/>
    <n v="0"/>
    <x v="23"/>
  </r>
  <r>
    <d v="2025-08-29T00:00:00"/>
    <n v="24"/>
    <n v="19"/>
    <n v="16.62"/>
    <n v="15.63"/>
    <n v="1.96"/>
    <n v="6.84"/>
    <n v="0.98"/>
    <n v="0"/>
    <n v="0.98"/>
    <n v="0"/>
    <x v="23"/>
  </r>
  <r>
    <d v="2025-08-30T00:00:00"/>
    <n v="31"/>
    <n v="23"/>
    <n v="20.87"/>
    <n v="19.63"/>
    <n v="2.46"/>
    <n v="8.59"/>
    <n v="1.23"/>
    <n v="0"/>
    <n v="1.23"/>
    <n v="0"/>
    <x v="23"/>
  </r>
  <r>
    <d v="2025-08-31T00:00:00"/>
    <n v="16"/>
    <n v="13"/>
    <n v="11.21"/>
    <n v="10.54"/>
    <n v="1.32"/>
    <n v="4.6100000000000003"/>
    <n v="0.66"/>
    <n v="0"/>
    <n v="0.66"/>
    <n v="0"/>
    <x v="23"/>
  </r>
  <r>
    <d v="2025-09-01T00:00:00"/>
    <n v="20"/>
    <n v="16"/>
    <n v="13.91"/>
    <n v="13.09"/>
    <n v="1.64"/>
    <n v="5.73"/>
    <n v="0.82"/>
    <n v="0"/>
    <n v="0.82"/>
    <n v="0"/>
    <x v="23"/>
  </r>
  <r>
    <d v="2025-09-02T00:00:00"/>
    <n v="29"/>
    <n v="22"/>
    <n v="19.71"/>
    <n v="18.54"/>
    <n v="2.3199999999999998"/>
    <n v="8.11"/>
    <n v="1.1599999999999999"/>
    <n v="0"/>
    <n v="1.1599999999999999"/>
    <n v="0"/>
    <x v="23"/>
  </r>
  <r>
    <d v="2025-09-03T00:00:00"/>
    <n v="19"/>
    <n v="14"/>
    <n v="12.75"/>
    <n v="12"/>
    <n v="1.5"/>
    <n v="5.25"/>
    <n v="0.75"/>
    <n v="0"/>
    <n v="0.75"/>
    <n v="0"/>
    <x v="23"/>
  </r>
  <r>
    <d v="2025-09-04T00:00:00"/>
    <n v="13"/>
    <n v="10"/>
    <n v="8.89"/>
    <n v="8.36"/>
    <n v="1.05"/>
    <n v="3.66"/>
    <n v="0.52"/>
    <n v="0"/>
    <n v="0.52"/>
    <n v="0"/>
    <x v="24"/>
  </r>
  <r>
    <d v="2025-09-05T00:00:00"/>
    <n v="10"/>
    <n v="8"/>
    <n v="6.96"/>
    <n v="6.54"/>
    <n v="0.82"/>
    <n v="2.86"/>
    <n v="0.41"/>
    <n v="0"/>
    <n v="0.41"/>
    <n v="0"/>
    <x v="24"/>
  </r>
  <r>
    <d v="2025-09-06T00:00:00"/>
    <n v="7"/>
    <n v="6"/>
    <n v="5.0199999999999996"/>
    <n v="4.7300000000000004"/>
    <n v="0.59"/>
    <n v="2.0699999999999998"/>
    <n v="0.3"/>
    <n v="0"/>
    <n v="0.3"/>
    <n v="0"/>
    <x v="24"/>
  </r>
  <r>
    <d v="2025-09-07T00:00:00"/>
    <n v="12"/>
    <n v="9"/>
    <n v="8.11"/>
    <n v="7.64"/>
    <n v="0.96"/>
    <n v="3.34"/>
    <n v="0.48"/>
    <n v="0"/>
    <n v="0.48"/>
    <n v="0"/>
    <x v="24"/>
  </r>
  <r>
    <d v="2025-09-08T00:00:00"/>
    <n v="5"/>
    <n v="3"/>
    <n v="3.09"/>
    <n v="2.91"/>
    <n v="0.36"/>
    <n v="1.27"/>
    <n v="0.18"/>
    <n v="0"/>
    <n v="0.18"/>
    <n v="0"/>
    <x v="24"/>
  </r>
  <r>
    <d v="2025-09-09T00:00:00"/>
    <n v="7"/>
    <n v="5"/>
    <n v="4.6399999999999997"/>
    <n v="4.3600000000000003"/>
    <n v="0.55000000000000004"/>
    <n v="1.91"/>
    <n v="0.27"/>
    <n v="0"/>
    <n v="0.27"/>
    <n v="0"/>
    <x v="24"/>
  </r>
  <r>
    <d v="2025-09-10T00:00:00"/>
    <n v="10"/>
    <n v="8"/>
    <n v="6.96"/>
    <n v="6.54"/>
    <n v="0.82"/>
    <n v="2.86"/>
    <n v="0.41"/>
    <n v="0"/>
    <n v="0.41"/>
    <n v="0"/>
    <x v="24"/>
  </r>
  <r>
    <d v="2025-09-11T00:00:00"/>
    <n v="19"/>
    <n v="14"/>
    <n v="12.75"/>
    <n v="12"/>
    <n v="1.5"/>
    <n v="5.25"/>
    <n v="0.75"/>
    <n v="0"/>
    <n v="0.75"/>
    <n v="0"/>
    <x v="25"/>
  </r>
  <r>
    <d v="2025-09-12T00:00:00"/>
    <n v="16"/>
    <n v="12"/>
    <n v="10.82"/>
    <n v="10.18"/>
    <n v="1.27"/>
    <n v="4.45"/>
    <n v="0.64"/>
    <n v="0"/>
    <n v="0.64"/>
    <n v="0"/>
    <x v="25"/>
  </r>
  <r>
    <d v="2025-09-13T00:00:00"/>
    <n v="28"/>
    <n v="22"/>
    <n v="19.32"/>
    <n v="18.18"/>
    <n v="2.2799999999999998"/>
    <n v="7.96"/>
    <n v="1.1399999999999999"/>
    <n v="0"/>
    <n v="1.1399999999999999"/>
    <n v="0"/>
    <x v="25"/>
  </r>
  <r>
    <d v="2025-09-14T00:00:00"/>
    <n v="14"/>
    <n v="11"/>
    <n v="9.66"/>
    <n v="9.09"/>
    <n v="1.1399999999999999"/>
    <n v="3.98"/>
    <n v="0.56999999999999995"/>
    <n v="0"/>
    <n v="0.56999999999999995"/>
    <n v="0"/>
    <x v="25"/>
  </r>
  <r>
    <d v="2025-09-15T00:00:00"/>
    <n v="14"/>
    <n v="10"/>
    <n v="9.27"/>
    <n v="8.73"/>
    <n v="1.0900000000000001"/>
    <n v="3.82"/>
    <n v="0.54"/>
    <n v="0"/>
    <n v="0.54"/>
    <n v="0"/>
    <x v="25"/>
  </r>
  <r>
    <d v="2025-09-16T00:00:00"/>
    <n v="15"/>
    <n v="11"/>
    <n v="10.050000000000001"/>
    <n v="9.4499999999999993"/>
    <n v="1.18"/>
    <n v="4.1399999999999997"/>
    <n v="0.59"/>
    <n v="0"/>
    <n v="0.59"/>
    <n v="0"/>
    <x v="25"/>
  </r>
  <r>
    <d v="2025-09-17T00:00:00"/>
    <n v="6"/>
    <n v="4"/>
    <n v="3.86"/>
    <n v="3.64"/>
    <n v="0.46"/>
    <n v="1.59"/>
    <n v="0.23"/>
    <n v="0"/>
    <n v="0.23"/>
    <n v="0"/>
    <x v="25"/>
  </r>
  <r>
    <d v="2025-09-18T00:00:00"/>
    <n v="9"/>
    <n v="7"/>
    <n v="6.18"/>
    <n v="5.82"/>
    <n v="0.73"/>
    <n v="2.5499999999999998"/>
    <n v="0.36"/>
    <n v="0"/>
    <n v="0.36"/>
    <n v="0"/>
    <x v="26"/>
  </r>
  <r>
    <d v="2025-09-19T00:00:00"/>
    <n v="16"/>
    <n v="12"/>
    <n v="10.82"/>
    <n v="10.18"/>
    <n v="1.27"/>
    <n v="4.45"/>
    <n v="0.64"/>
    <n v="0"/>
    <n v="0.64"/>
    <n v="0"/>
    <x v="26"/>
  </r>
  <r>
    <d v="2025-09-20T00:00:00"/>
    <n v="6"/>
    <n v="4"/>
    <n v="3.86"/>
    <n v="3.64"/>
    <n v="0.46"/>
    <n v="1.59"/>
    <n v="0.23"/>
    <n v="0"/>
    <n v="0.23"/>
    <n v="0"/>
    <x v="26"/>
  </r>
  <r>
    <d v="2025-09-21T00:00:00"/>
    <n v="7"/>
    <n v="5"/>
    <n v="4.6399999999999997"/>
    <n v="4.3600000000000003"/>
    <n v="0.55000000000000004"/>
    <n v="1.91"/>
    <n v="0.27"/>
    <n v="0"/>
    <n v="0.27"/>
    <n v="0"/>
    <x v="26"/>
  </r>
  <r>
    <d v="2025-09-22T00:00:00"/>
    <n v="8"/>
    <n v="6"/>
    <n v="5.41"/>
    <n v="5.09"/>
    <n v="0.64"/>
    <n v="2.23"/>
    <n v="0.32"/>
    <n v="0"/>
    <n v="0.32"/>
    <n v="0"/>
    <x v="26"/>
  </r>
  <r>
    <d v="2025-09-23T00:00:00"/>
    <n v="9"/>
    <n v="7"/>
    <n v="6.18"/>
    <n v="5.82"/>
    <n v="0.73"/>
    <n v="2.5499999999999998"/>
    <n v="0.36"/>
    <n v="0"/>
    <n v="0.36"/>
    <n v="0"/>
    <x v="26"/>
  </r>
  <r>
    <d v="2025-09-24T00:00:00"/>
    <n v="5"/>
    <n v="3"/>
    <n v="3.09"/>
    <n v="2.91"/>
    <n v="0.36"/>
    <n v="1.27"/>
    <n v="0.18"/>
    <n v="0"/>
    <n v="0.18"/>
    <n v="0"/>
    <x v="26"/>
  </r>
  <r>
    <d v="2025-09-25T00:00:00"/>
    <n v="4"/>
    <n v="3"/>
    <n v="2.7"/>
    <n v="2.5499999999999998"/>
    <n v="0.32"/>
    <n v="1.1100000000000001"/>
    <n v="0.16"/>
    <n v="0"/>
    <n v="0.16"/>
    <n v="0"/>
    <x v="27"/>
  </r>
  <r>
    <d v="2025-09-26T00:00:00"/>
    <n v="0"/>
    <n v="0"/>
    <n v="0"/>
    <n v="0"/>
    <n v="0"/>
    <n v="0"/>
    <n v="0"/>
    <n v="0"/>
    <n v="0"/>
    <n v="0"/>
    <x v="27"/>
  </r>
  <r>
    <d v="2025-09-27T00:00:00"/>
    <n v="3"/>
    <n v="3"/>
    <n v="2.3199999999999998"/>
    <n v="2.1800000000000002"/>
    <n v="0.27"/>
    <n v="0.95"/>
    <n v="0.14000000000000001"/>
    <n v="0"/>
    <n v="0.14000000000000001"/>
    <n v="0"/>
    <x v="27"/>
  </r>
  <r>
    <d v="2025-09-28T00:00:00"/>
    <n v="8"/>
    <n v="6"/>
    <n v="5.41"/>
    <n v="5.09"/>
    <n v="0.64"/>
    <n v="2.23"/>
    <n v="0.32"/>
    <n v="0"/>
    <n v="0.32"/>
    <n v="0"/>
    <x v="27"/>
  </r>
  <r>
    <d v="2025-09-29T00:00:00"/>
    <n v="11"/>
    <n v="9"/>
    <n v="7.73"/>
    <n v="7.27"/>
    <n v="0.91"/>
    <n v="3.18"/>
    <n v="0.45"/>
    <n v="0"/>
    <n v="0.45"/>
    <n v="0"/>
    <x v="27"/>
  </r>
  <r>
    <d v="2025-09-30T00:00:00"/>
    <n v="41"/>
    <n v="32"/>
    <n v="28.21"/>
    <n v="26.54"/>
    <n v="3.32"/>
    <n v="11.61"/>
    <n v="1.66"/>
    <n v="0"/>
    <n v="1.66"/>
    <n v="0"/>
    <x v="27"/>
  </r>
  <r>
    <d v="2025-10-01T00:00:00"/>
    <n v="31"/>
    <n v="23"/>
    <n v="20.87"/>
    <n v="19.63"/>
    <n v="2.46"/>
    <n v="8.59"/>
    <n v="1.23"/>
    <n v="0"/>
    <n v="1.23"/>
    <n v="0"/>
    <x v="27"/>
  </r>
  <r>
    <d v="2025-10-02T00:00:00"/>
    <n v="299"/>
    <n v="228"/>
    <n v="203.63"/>
    <n v="191.62"/>
    <n v="23.98"/>
    <n v="83.85"/>
    <n v="11.96"/>
    <n v="0"/>
    <n v="11.96"/>
    <n v="0"/>
    <x v="28"/>
  </r>
  <r>
    <d v="2025-10-03T00:00:00"/>
    <n v="155"/>
    <n v="118"/>
    <n v="105.49"/>
    <n v="99.26"/>
    <n v="12.42"/>
    <n v="43.43"/>
    <n v="6.2"/>
    <n v="0"/>
    <n v="6.2"/>
    <n v="0"/>
    <x v="28"/>
  </r>
  <r>
    <d v="2025-10-04T00:00:00"/>
    <n v="172"/>
    <n v="131"/>
    <n v="117.08"/>
    <n v="110.17"/>
    <n v="13.79"/>
    <n v="48.21"/>
    <n v="6.88"/>
    <n v="0"/>
    <n v="6.88"/>
    <n v="0"/>
    <x v="28"/>
  </r>
  <r>
    <d v="2025-10-05T00:00:00"/>
    <n v="136"/>
    <n v="104"/>
    <n v="92.74"/>
    <n v="87.26"/>
    <n v="10.92"/>
    <n v="38.18"/>
    <n v="5.45"/>
    <n v="0"/>
    <n v="5.45"/>
    <n v="0"/>
    <x v="28"/>
  </r>
  <r>
    <d v="2025-10-06T00:00:00"/>
    <n v="74"/>
    <n v="57"/>
    <n v="50.62"/>
    <n v="47.63"/>
    <n v="5.96"/>
    <n v="20.84"/>
    <n v="2.97"/>
    <n v="0"/>
    <n v="2.97"/>
    <n v="0"/>
    <x v="28"/>
  </r>
  <r>
    <d v="2025-10-07T00:00:00"/>
    <n v="76"/>
    <n v="58"/>
    <n v="51.78"/>
    <n v="48.72"/>
    <n v="6.1"/>
    <n v="21.32"/>
    <n v="3.04"/>
    <n v="0"/>
    <n v="3.04"/>
    <n v="0"/>
    <x v="28"/>
  </r>
  <r>
    <d v="2025-10-08T00:00:00"/>
    <n v="37"/>
    <n v="29"/>
    <n v="25.5"/>
    <n v="24"/>
    <n v="3"/>
    <n v="10.5"/>
    <n v="1.5"/>
    <n v="0"/>
    <n v="1.5"/>
    <n v="0"/>
    <x v="28"/>
  </r>
  <r>
    <d v="2025-10-09T00:00:00"/>
    <n v="32"/>
    <n v="24"/>
    <n v="21.64"/>
    <n v="20.36"/>
    <n v="2.5499999999999998"/>
    <n v="8.91"/>
    <n v="1.27"/>
    <n v="0"/>
    <n v="1.27"/>
    <n v="0"/>
    <x v="29"/>
  </r>
  <r>
    <d v="2025-10-10T00:00:00"/>
    <n v="20"/>
    <n v="16"/>
    <n v="13.91"/>
    <n v="13.09"/>
    <n v="1.64"/>
    <n v="5.73"/>
    <n v="0.82"/>
    <n v="0"/>
    <n v="0.82"/>
    <n v="0"/>
    <x v="29"/>
  </r>
  <r>
    <d v="2025-10-11T00:00:00"/>
    <n v="14"/>
    <n v="10"/>
    <n v="9.27"/>
    <n v="8.73"/>
    <n v="1.0900000000000001"/>
    <n v="3.82"/>
    <n v="0.54"/>
    <n v="0"/>
    <n v="0.54"/>
    <n v="0"/>
    <x v="29"/>
  </r>
  <r>
    <d v="2025-10-12T00:00:00"/>
    <n v="10"/>
    <n v="8"/>
    <n v="6.96"/>
    <n v="6.54"/>
    <n v="0.82"/>
    <n v="2.86"/>
    <n v="0.41"/>
    <n v="0"/>
    <n v="0.41"/>
    <n v="0"/>
    <x v="29"/>
  </r>
  <r>
    <d v="2025-10-13T00:00:00"/>
    <n v="10"/>
    <n v="7"/>
    <n v="6.57"/>
    <n v="6.18"/>
    <n v="0.77"/>
    <n v="2.7"/>
    <n v="0.39"/>
    <n v="0"/>
    <n v="0.39"/>
    <n v="0"/>
    <x v="29"/>
  </r>
  <r>
    <d v="2025-10-14T00:00:00"/>
    <n v="9"/>
    <n v="6"/>
    <n v="5.8"/>
    <n v="5.45"/>
    <n v="0.68"/>
    <n v="2.39"/>
    <n v="0.34"/>
    <n v="0"/>
    <n v="0.34"/>
    <n v="0"/>
    <x v="29"/>
  </r>
  <r>
    <d v="2025-10-15T00:00:00"/>
    <n v="7"/>
    <n v="5"/>
    <n v="4.6399999999999997"/>
    <n v="4.3600000000000003"/>
    <n v="0.55000000000000004"/>
    <n v="1.91"/>
    <n v="0.27"/>
    <n v="0"/>
    <n v="0.27"/>
    <n v="0"/>
    <x v="29"/>
  </r>
  <r>
    <d v="2025-10-16T00:00:00"/>
    <n v="7"/>
    <n v="6"/>
    <n v="5.0199999999999996"/>
    <n v="4.7300000000000004"/>
    <n v="0.59"/>
    <n v="2.0699999999999998"/>
    <n v="0.3"/>
    <n v="0"/>
    <n v="0.3"/>
    <n v="0"/>
    <x v="30"/>
  </r>
  <r>
    <d v="2025-10-17T00:00:00"/>
    <n v="11"/>
    <n v="8"/>
    <n v="7.34"/>
    <n v="6.91"/>
    <n v="0.86"/>
    <n v="3.02"/>
    <n v="0.43"/>
    <n v="0"/>
    <n v="0.43"/>
    <n v="0"/>
    <x v="30"/>
  </r>
  <r>
    <d v="2025-10-18T00:00:00"/>
    <n v="10"/>
    <n v="8"/>
    <n v="6.96"/>
    <n v="6.54"/>
    <n v="0.82"/>
    <n v="2.86"/>
    <n v="0.41"/>
    <n v="0"/>
    <n v="0.41"/>
    <n v="0"/>
    <x v="30"/>
  </r>
  <r>
    <d v="2025-10-19T00:00:00"/>
    <n v="11"/>
    <n v="8"/>
    <n v="7.34"/>
    <n v="6.91"/>
    <n v="0.86"/>
    <n v="3.02"/>
    <n v="0.43"/>
    <n v="0"/>
    <n v="0.43"/>
    <n v="0"/>
    <x v="30"/>
  </r>
  <r>
    <d v="2025-10-20T00:00:00"/>
    <n v="26"/>
    <n v="19"/>
    <n v="17.39"/>
    <n v="16.36"/>
    <n v="2.0499999999999998"/>
    <n v="7.16"/>
    <n v="1.02"/>
    <n v="0"/>
    <n v="1.02"/>
    <n v="0"/>
    <x v="30"/>
  </r>
  <r>
    <d v="2025-10-21T00:00:00"/>
    <n v="30"/>
    <n v="23"/>
    <n v="20.48"/>
    <n v="19.27"/>
    <n v="2.41"/>
    <n v="8.43"/>
    <n v="1.2"/>
    <n v="0"/>
    <n v="1.2"/>
    <n v="0"/>
    <x v="30"/>
  </r>
  <r>
    <d v="2025-10-22T00:00:00"/>
    <n v="31"/>
    <n v="24"/>
    <n v="21.25"/>
    <n v="20"/>
    <n v="2.5"/>
    <n v="8.75"/>
    <n v="1.25"/>
    <n v="0"/>
    <n v="1.25"/>
    <n v="0"/>
    <x v="30"/>
  </r>
  <r>
    <d v="2025-10-23T00:00:00"/>
    <n v="37"/>
    <n v="28"/>
    <n v="25.12"/>
    <n v="23.63"/>
    <n v="2.96"/>
    <n v="10.34"/>
    <n v="1.48"/>
    <n v="0"/>
    <n v="1.48"/>
    <n v="0"/>
    <x v="31"/>
  </r>
  <r>
    <d v="2025-10-24T00:00:00"/>
    <n v="19"/>
    <n v="14"/>
    <n v="12.75"/>
    <n v="12"/>
    <n v="1.5"/>
    <n v="5.25"/>
    <n v="0.75"/>
    <n v="0"/>
    <n v="0.75"/>
    <n v="0"/>
    <x v="31"/>
  </r>
  <r>
    <d v="2025-10-25T00:00:00"/>
    <n v="37"/>
    <n v="28"/>
    <n v="25.12"/>
    <n v="23.63"/>
    <n v="2.96"/>
    <n v="10.34"/>
    <n v="1.48"/>
    <n v="0"/>
    <n v="1.48"/>
    <n v="0"/>
    <x v="31"/>
  </r>
  <r>
    <d v="2025-10-26T00:00:00"/>
    <n v="68"/>
    <n v="52"/>
    <n v="46.37"/>
    <n v="43.63"/>
    <n v="5.46"/>
    <n v="19.09"/>
    <n v="2.72"/>
    <n v="0"/>
    <n v="2.72"/>
    <n v="0"/>
    <x v="31"/>
  </r>
  <r>
    <d v="2025-10-27T00:00:00"/>
    <n v="78"/>
    <n v="59"/>
    <n v="52.94"/>
    <n v="49.81"/>
    <n v="6.23"/>
    <n v="21.8"/>
    <n v="3.11"/>
    <n v="0"/>
    <n v="3.11"/>
    <n v="0"/>
    <x v="31"/>
  </r>
  <r>
    <d v="2025-10-28T00:00:00"/>
    <n v="37"/>
    <n v="29"/>
    <n v="25.5"/>
    <n v="24"/>
    <n v="3"/>
    <n v="10.5"/>
    <n v="1.5"/>
    <n v="0"/>
    <n v="1.5"/>
    <n v="0"/>
    <x v="31"/>
  </r>
  <r>
    <d v="2025-10-29T00:00:00"/>
    <n v="32"/>
    <n v="24"/>
    <n v="21.64"/>
    <n v="20.36"/>
    <n v="2.5499999999999998"/>
    <n v="8.91"/>
    <n v="1.27"/>
    <n v="0"/>
    <n v="1.27"/>
    <n v="0"/>
    <x v="31"/>
  </r>
  <r>
    <d v="2025-10-30T00:00:00"/>
    <n v="6"/>
    <n v="4"/>
    <n v="3.86"/>
    <n v="3.64"/>
    <n v="0.46"/>
    <n v="1.59"/>
    <n v="0.23"/>
    <n v="0"/>
    <n v="0.23"/>
    <n v="0"/>
    <x v="3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1F9969-7866-4382-B361-363BA4340880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O2:W36" firstHeaderRow="0" firstDataRow="1" firstDataCol="1"/>
  <pivotFields count="12">
    <pivotField numFmtId="14"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axis="axisRow" showAll="0">
      <items count="3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t="default"/>
      </items>
    </pivotField>
  </pivotFields>
  <rowFields count="1">
    <field x="11"/>
  </rowFields>
  <rowItems count="3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 t="grand">
      <x/>
    </i>
  </rowItems>
  <colFields count="1">
    <field x="-2"/>
  </colFields>
  <colItems count="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</colItems>
  <dataFields count="8">
    <dataField name="Sum of 32" fld="3" baseField="0" baseItem="0"/>
    <dataField name="Sum of 42" fld="4" baseField="0" baseItem="0"/>
    <dataField name="Sum of 43" fld="5" baseField="0" baseItem="0"/>
    <dataField name="Sum of 52" fld="6" baseField="0" baseItem="0"/>
    <dataField name="Sum of 53" fld="7" baseField="0" baseItem="0"/>
    <dataField name="Sum of 62" fld="8" baseField="0" baseItem="0"/>
    <dataField name="Sum of 63" fld="9" baseField="0" baseItem="0"/>
    <dataField name="Sum of 64" fld="10" baseField="0" baseItem="0" numFmtId="1"/>
  </dataFields>
  <formats count="1">
    <format dxfId="37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7B126A-6A07-4F25-8B76-0BEB619CF0D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N3:U35" firstHeaderRow="0" firstDataRow="1" firstDataCol="1"/>
  <pivotFields count="12">
    <pivotField numFmtId="14"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axis="axisRow" showAll="0">
      <items count="3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t="default"/>
      </items>
    </pivotField>
  </pivotFields>
  <rowFields count="1">
    <field x="11"/>
  </rowFields>
  <rowItems count="3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 t="grand">
      <x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dataFields count="7">
    <dataField name="Sum of 32" fld="3" baseField="0" baseItem="0" numFmtId="1"/>
    <dataField name="Sum of 42" fld="4" baseField="0" baseItem="0" numFmtId="1"/>
    <dataField name="Sum of 43" fld="5" baseField="0" baseItem="0" numFmtId="1"/>
    <dataField name="Sum of 52" fld="6" baseField="0" baseItem="0" numFmtId="1"/>
    <dataField name="Sum of 53" fld="7" baseField="0" baseItem="0" numFmtId="1"/>
    <dataField name="Sum of 62" fld="8" baseField="0" baseItem="0"/>
    <dataField name="Sum of 63" fld="9" baseField="0" baseItem="0" numFmtId="1"/>
  </dataFields>
  <formats count="7">
    <format dxfId="22">
      <pivotArea grandRow="1" outline="0" collapsedLevelsAreSubtotals="1" fieldPosition="0"/>
    </format>
    <format dxfId="21">
      <pivotArea outline="0" fieldPosition="0">
        <references count="1">
          <reference field="4294967294" count="1">
            <x v="0"/>
          </reference>
        </references>
      </pivotArea>
    </format>
    <format dxfId="20">
      <pivotArea outline="0" fieldPosition="0">
        <references count="1">
          <reference field="4294967294" count="1">
            <x v="4"/>
          </reference>
        </references>
      </pivotArea>
    </format>
    <format dxfId="19">
      <pivotArea outline="0" fieldPosition="0">
        <references count="1">
          <reference field="4294967294" count="1">
            <x v="6"/>
          </reference>
        </references>
      </pivotArea>
    </format>
    <format dxfId="18">
      <pivotArea outline="0" fieldPosition="0">
        <references count="1">
          <reference field="4294967294" count="1">
            <x v="3"/>
          </reference>
        </references>
      </pivotArea>
    </format>
    <format dxfId="17">
      <pivotArea outline="0" fieldPosition="0">
        <references count="1">
          <reference field="4294967294" count="1">
            <x v="2"/>
          </reference>
        </references>
      </pivotArea>
    </format>
    <format dxfId="16">
      <pivotArea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1BFFEC7-1882-4C9B-B053-63ECA3123430}" name="Table3" displayName="Table3" ref="A1:L221" totalsRowShown="0" headerRowDxfId="36" dataDxfId="35">
  <autoFilter ref="A1:L221" xr:uid="{A1BFFEC7-1882-4C9B-B053-63ECA3123430}"/>
  <tableColumns count="12">
    <tableColumn id="1" xr3:uid="{D2F5915B-89EC-4BD1-88BE-1C400ABA0955}" name="Date" dataDxfId="34"/>
    <tableColumn id="2" xr3:uid="{60E8675B-E043-4A58-9B21-EA607ADB28A6}" name="Adult" dataDxfId="33"/>
    <tableColumn id="3" xr3:uid="{A656D7AA-0EC1-41A6-B12F-530EF3B6901A}" name="Jack" dataDxfId="32"/>
    <tableColumn id="4" xr3:uid="{CECB6DD0-2597-4A85-9C3C-ACD2AC254DD6}" name="32" dataDxfId="31"/>
    <tableColumn id="5" xr3:uid="{EC8DABC9-F115-4694-98ED-2D192A46BDF7}" name="42" dataDxfId="30"/>
    <tableColumn id="6" xr3:uid="{746D524C-5ABB-437E-A54E-821BC075F23A}" name="43" dataDxfId="29"/>
    <tableColumn id="7" xr3:uid="{29D2FC1C-8F8A-44C8-9ACA-7779964FB1E4}" name="52" dataDxfId="28"/>
    <tableColumn id="8" xr3:uid="{D58E7C91-5CE7-4286-994F-6B34ACFB3450}" name="53" dataDxfId="27"/>
    <tableColumn id="9" xr3:uid="{C6E313D8-531C-459E-87F3-E7F7D7109280}" name="62" dataDxfId="26"/>
    <tableColumn id="10" xr3:uid="{49B10B01-C2BB-41CF-9130-11B1CE0F1F67}" name="63" dataDxfId="25"/>
    <tableColumn id="11" xr3:uid="{0ED87234-42B2-4133-96CD-56EFF00D1D0B}" name="64" dataDxfId="24"/>
    <tableColumn id="12" xr3:uid="{67B739C4-C3D4-499C-B217-7F5152B1575A}" name="Statweek" dataDxfId="23">
      <calculatedColumnFormula>VLOOKUP(Table3[[#This Row],[Date]],SW_LU[],3,TRUE)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E315F0C-1F66-43EB-BAE4-534022E7E795}" name="Table2" displayName="Table2" ref="A1:L208" totalsRowShown="0" headerRowDxfId="15" dataDxfId="14">
  <autoFilter ref="A1:L208" xr:uid="{5E315F0C-1F66-43EB-BAE4-534022E7E795}"/>
  <tableColumns count="12">
    <tableColumn id="1" xr3:uid="{3180B71F-C0A6-4E95-BD54-3D1D3C9FBD83}" name="Date" dataDxfId="13"/>
    <tableColumn id="2" xr3:uid="{14FD96E9-AE3D-4230-92FF-753854D7F5EC}" name="Adult" dataDxfId="12"/>
    <tableColumn id="3" xr3:uid="{E2EC4474-EA0E-46EC-8186-C0B3BEA83F2A}" name="Jack" dataDxfId="11"/>
    <tableColumn id="4" xr3:uid="{5D84AE29-432E-4A83-B6F0-F61D1CF94680}" name="32" dataDxfId="10"/>
    <tableColumn id="5" xr3:uid="{0FDA54CD-9BC9-423F-90BA-E2F333BFFC0C}" name="42" dataDxfId="9"/>
    <tableColumn id="6" xr3:uid="{18DDAAEF-4687-43C2-8305-674C27956C16}" name="43" dataDxfId="8"/>
    <tableColumn id="7" xr3:uid="{34363443-14AE-474D-93FB-50007B90C79B}" name="52" dataDxfId="7"/>
    <tableColumn id="8" xr3:uid="{727BE034-F2C4-4205-842E-835F871B24B3}" name="53" dataDxfId="6"/>
    <tableColumn id="9" xr3:uid="{FC1B3BFD-1AC2-4374-A661-7C44BC3B11B2}" name="62" dataDxfId="5"/>
    <tableColumn id="10" xr3:uid="{E8734660-D755-4765-A26F-48E11616C532}" name="63" dataDxfId="4"/>
    <tableColumn id="11" xr3:uid="{3D781EAE-F465-4168-AFB4-CB3F8B94CFCE}" name="64" dataDxfId="3"/>
    <tableColumn id="12" xr3:uid="{1024104E-C88B-486E-9583-2DF9E01D921B}" name="Statweek" dataDxfId="2">
      <calculatedColumnFormula>VLOOKUP(Table2[[#This Row],[Date]],SW_LU[],3,TRUE)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B6B68DE-A174-4F20-8F3C-3C5456199F34}" name="SW_LU" displayName="SW_LU" ref="A1:C366" totalsRowShown="0">
  <autoFilter ref="A1:C366" xr:uid="{FB6B68DE-A174-4F20-8F3C-3C5456199F34}"/>
  <tableColumns count="3">
    <tableColumn id="1" xr3:uid="{405F37E3-CAD7-4D58-9986-2F30A09A1244}" name="Date" dataDxfId="1"/>
    <tableColumn id="2" xr3:uid="{016DB912-1B27-4523-BD97-24EA96562EED}" name="Julian"/>
    <tableColumn id="3" xr3:uid="{471441B3-4A68-49C4-BA68-950D9A15AB51}" name="Stat week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248"/>
  <sheetViews>
    <sheetView zoomScale="90" zoomScaleNormal="90" workbookViewId="0">
      <pane ySplit="1" topLeftCell="A104" activePane="bottomLeft" state="frozen"/>
      <selection pane="bottomLeft" activeCell="B2" sqref="B2:C221"/>
    </sheetView>
  </sheetViews>
  <sheetFormatPr defaultRowHeight="14.4" x14ac:dyDescent="0.3"/>
  <cols>
    <col min="1" max="1" width="14.21875" style="9" customWidth="1"/>
    <col min="2" max="2" width="13.5546875" customWidth="1"/>
    <col min="3" max="3" width="9.109375" customWidth="1"/>
    <col min="4" max="4" width="12" customWidth="1"/>
    <col min="5" max="5" width="12.44140625" customWidth="1"/>
    <col min="6" max="6" width="9.109375" customWidth="1"/>
    <col min="7" max="7" width="10" customWidth="1"/>
    <col min="8" max="11" width="9.109375" customWidth="1"/>
    <col min="12" max="12" width="12.33203125" customWidth="1"/>
    <col min="13" max="13" width="14.33203125" customWidth="1"/>
    <col min="14" max="14" width="11.33203125" customWidth="1"/>
    <col min="15" max="15" width="13.44140625" bestFit="1" customWidth="1"/>
    <col min="16" max="23" width="9.88671875" bestFit="1" customWidth="1"/>
  </cols>
  <sheetData>
    <row r="1" spans="1:23" x14ac:dyDescent="0.3">
      <c r="A1" s="12" t="s">
        <v>2</v>
      </c>
      <c r="B1" s="2" t="s">
        <v>0</v>
      </c>
      <c r="C1" s="2" t="s">
        <v>1</v>
      </c>
      <c r="D1" s="2" t="s">
        <v>46</v>
      </c>
      <c r="E1" s="2" t="s">
        <v>47</v>
      </c>
      <c r="F1" s="2" t="s">
        <v>48</v>
      </c>
      <c r="G1" s="2" t="s">
        <v>49</v>
      </c>
      <c r="H1" s="2" t="s">
        <v>50</v>
      </c>
      <c r="I1" s="2" t="s">
        <v>51</v>
      </c>
      <c r="J1" s="2" t="s">
        <v>52</v>
      </c>
      <c r="K1" s="2" t="s">
        <v>53</v>
      </c>
      <c r="L1" t="s">
        <v>43</v>
      </c>
      <c r="M1" s="5" t="s">
        <v>11</v>
      </c>
      <c r="N1" s="5" t="s">
        <v>12</v>
      </c>
    </row>
    <row r="2" spans="1:23" x14ac:dyDescent="0.3">
      <c r="A2" s="10">
        <v>45741</v>
      </c>
      <c r="B2" s="26">
        <v>1</v>
      </c>
      <c r="C2" s="26">
        <v>0</v>
      </c>
      <c r="D2" s="26">
        <v>0.15</v>
      </c>
      <c r="E2" s="26">
        <v>0.48</v>
      </c>
      <c r="F2" s="26">
        <v>0</v>
      </c>
      <c r="G2" s="26">
        <v>0.27</v>
      </c>
      <c r="H2" s="26">
        <v>0.1</v>
      </c>
      <c r="I2" s="26">
        <v>0</v>
      </c>
      <c r="J2" s="26">
        <v>0</v>
      </c>
      <c r="K2" s="26">
        <v>0</v>
      </c>
      <c r="L2" s="1">
        <f>VLOOKUP(Table3[[#This Row],[Date]],SW_LU[],3,TRUE)</f>
        <v>34</v>
      </c>
      <c r="M2" s="10"/>
      <c r="N2" s="1"/>
      <c r="O2" s="23" t="s">
        <v>61</v>
      </c>
      <c r="P2" t="s">
        <v>54</v>
      </c>
      <c r="Q2" t="s">
        <v>62</v>
      </c>
      <c r="R2" t="s">
        <v>63</v>
      </c>
      <c r="S2" t="s">
        <v>56</v>
      </c>
      <c r="T2" t="s">
        <v>57</v>
      </c>
      <c r="U2" t="s">
        <v>58</v>
      </c>
      <c r="V2" t="s">
        <v>59</v>
      </c>
      <c r="W2" t="s">
        <v>60</v>
      </c>
    </row>
    <row r="3" spans="1:23" x14ac:dyDescent="0.3">
      <c r="A3" s="10">
        <v>45742</v>
      </c>
      <c r="B3" s="26">
        <v>1</v>
      </c>
      <c r="C3" s="26">
        <v>0</v>
      </c>
      <c r="D3" s="26">
        <v>0.15</v>
      </c>
      <c r="E3" s="26">
        <v>0.48</v>
      </c>
      <c r="F3" s="26">
        <v>0</v>
      </c>
      <c r="G3" s="26">
        <v>0.27</v>
      </c>
      <c r="H3" s="26">
        <v>0.1</v>
      </c>
      <c r="I3" s="26">
        <v>0</v>
      </c>
      <c r="J3" s="26">
        <v>0</v>
      </c>
      <c r="K3" s="26">
        <v>0</v>
      </c>
      <c r="L3" s="1">
        <f>VLOOKUP(Table3[[#This Row],[Date]],SW_LU[],3,TRUE)</f>
        <v>34</v>
      </c>
      <c r="M3" s="10"/>
      <c r="N3" s="1"/>
      <c r="O3" s="24">
        <v>34</v>
      </c>
      <c r="P3" s="25">
        <v>0.3</v>
      </c>
      <c r="Q3" s="25">
        <v>0.96</v>
      </c>
      <c r="R3" s="25">
        <v>0</v>
      </c>
      <c r="S3" s="25">
        <v>0.54</v>
      </c>
      <c r="T3" s="25">
        <v>0.2</v>
      </c>
      <c r="U3" s="25">
        <v>0</v>
      </c>
      <c r="V3" s="25">
        <v>0</v>
      </c>
      <c r="W3" s="25">
        <v>0</v>
      </c>
    </row>
    <row r="4" spans="1:23" x14ac:dyDescent="0.3">
      <c r="A4" s="10">
        <v>45743</v>
      </c>
      <c r="B4" s="26">
        <v>0</v>
      </c>
      <c r="C4" s="26">
        <v>0</v>
      </c>
      <c r="D4" s="26">
        <v>0</v>
      </c>
      <c r="E4" s="26">
        <v>0</v>
      </c>
      <c r="F4" s="26">
        <v>0</v>
      </c>
      <c r="G4" s="26">
        <v>0</v>
      </c>
      <c r="H4" s="26">
        <v>0</v>
      </c>
      <c r="I4" s="26">
        <v>0</v>
      </c>
      <c r="J4" s="26">
        <v>0</v>
      </c>
      <c r="K4" s="26">
        <v>0</v>
      </c>
      <c r="L4" s="1">
        <f>VLOOKUP(Table3[[#This Row],[Date]],SW_LU[],3,TRUE)</f>
        <v>41</v>
      </c>
      <c r="M4" s="10"/>
      <c r="N4" s="1"/>
      <c r="O4" s="24">
        <v>41</v>
      </c>
      <c r="P4" s="25">
        <v>0.15</v>
      </c>
      <c r="Q4" s="25">
        <v>0.48</v>
      </c>
      <c r="R4" s="25">
        <v>0</v>
      </c>
      <c r="S4" s="25">
        <v>0.27</v>
      </c>
      <c r="T4" s="25">
        <v>0.1</v>
      </c>
      <c r="U4" s="25">
        <v>0</v>
      </c>
      <c r="V4" s="25">
        <v>0</v>
      </c>
      <c r="W4" s="25">
        <v>0</v>
      </c>
    </row>
    <row r="5" spans="1:23" x14ac:dyDescent="0.3">
      <c r="A5" s="10">
        <v>45744</v>
      </c>
      <c r="B5" s="26">
        <v>0</v>
      </c>
      <c r="C5" s="26">
        <v>0</v>
      </c>
      <c r="D5" s="26">
        <v>0</v>
      </c>
      <c r="E5" s="26">
        <v>0</v>
      </c>
      <c r="F5" s="26">
        <v>0</v>
      </c>
      <c r="G5" s="26">
        <v>0</v>
      </c>
      <c r="H5" s="26">
        <v>0</v>
      </c>
      <c r="I5" s="26">
        <v>0</v>
      </c>
      <c r="J5" s="26">
        <v>0</v>
      </c>
      <c r="K5" s="26">
        <v>0</v>
      </c>
      <c r="L5" s="1">
        <f>VLOOKUP(Table3[[#This Row],[Date]],SW_LU[],3,TRUE)</f>
        <v>41</v>
      </c>
      <c r="M5" s="10"/>
      <c r="N5" s="1"/>
      <c r="O5" s="24">
        <v>42</v>
      </c>
      <c r="P5" s="25">
        <v>1.2</v>
      </c>
      <c r="Q5" s="25">
        <v>3.8699999999999997</v>
      </c>
      <c r="R5" s="25">
        <v>0</v>
      </c>
      <c r="S5" s="25">
        <v>2.13</v>
      </c>
      <c r="T5" s="25">
        <v>0.79999999999999993</v>
      </c>
      <c r="U5" s="25">
        <v>0</v>
      </c>
      <c r="V5" s="25">
        <v>0</v>
      </c>
      <c r="W5" s="25">
        <v>0</v>
      </c>
    </row>
    <row r="6" spans="1:23" x14ac:dyDescent="0.3">
      <c r="A6" s="10">
        <v>45745</v>
      </c>
      <c r="B6" s="26">
        <v>0</v>
      </c>
      <c r="C6" s="26">
        <v>0</v>
      </c>
      <c r="D6" s="26">
        <v>0</v>
      </c>
      <c r="E6" s="26">
        <v>0</v>
      </c>
      <c r="F6" s="26">
        <v>0</v>
      </c>
      <c r="G6" s="26">
        <v>0</v>
      </c>
      <c r="H6" s="26">
        <v>0</v>
      </c>
      <c r="I6" s="26">
        <v>0</v>
      </c>
      <c r="J6" s="26">
        <v>0</v>
      </c>
      <c r="K6" s="26">
        <v>0</v>
      </c>
      <c r="L6" s="1">
        <f>VLOOKUP(Table3[[#This Row],[Date]],SW_LU[],3,TRUE)</f>
        <v>41</v>
      </c>
      <c r="M6" s="10"/>
      <c r="N6" s="1"/>
      <c r="O6" s="24">
        <v>43</v>
      </c>
      <c r="P6" s="25">
        <v>0.15</v>
      </c>
      <c r="Q6" s="25">
        <v>0.48</v>
      </c>
      <c r="R6" s="25">
        <v>0</v>
      </c>
      <c r="S6" s="25">
        <v>0.27</v>
      </c>
      <c r="T6" s="25">
        <v>0.1</v>
      </c>
      <c r="U6" s="25">
        <v>0</v>
      </c>
      <c r="V6" s="25">
        <v>0</v>
      </c>
      <c r="W6" s="25">
        <v>0</v>
      </c>
    </row>
    <row r="7" spans="1:23" x14ac:dyDescent="0.3">
      <c r="A7" s="10">
        <v>45746</v>
      </c>
      <c r="B7" s="26">
        <v>0</v>
      </c>
      <c r="C7" s="26">
        <v>0</v>
      </c>
      <c r="D7" s="26">
        <v>0</v>
      </c>
      <c r="E7" s="26">
        <v>0</v>
      </c>
      <c r="F7" s="26">
        <v>0</v>
      </c>
      <c r="G7" s="26">
        <v>0</v>
      </c>
      <c r="H7" s="26">
        <v>0</v>
      </c>
      <c r="I7" s="26">
        <v>0</v>
      </c>
      <c r="J7" s="26">
        <v>0</v>
      </c>
      <c r="K7" s="26">
        <v>0</v>
      </c>
      <c r="L7" s="1">
        <f>VLOOKUP(Table3[[#This Row],[Date]],SW_LU[],3,TRUE)</f>
        <v>41</v>
      </c>
      <c r="M7" s="10"/>
      <c r="N7" s="1"/>
      <c r="O7" s="24">
        <v>44</v>
      </c>
      <c r="P7" s="25">
        <v>0.3</v>
      </c>
      <c r="Q7" s="25">
        <v>0.97</v>
      </c>
      <c r="R7" s="25">
        <v>0</v>
      </c>
      <c r="S7" s="25">
        <v>0.53</v>
      </c>
      <c r="T7" s="25">
        <v>0.2</v>
      </c>
      <c r="U7" s="25">
        <v>0</v>
      </c>
      <c r="V7" s="25">
        <v>0</v>
      </c>
      <c r="W7" s="25">
        <v>0</v>
      </c>
    </row>
    <row r="8" spans="1:23" x14ac:dyDescent="0.3">
      <c r="A8" s="10">
        <v>45747</v>
      </c>
      <c r="B8" s="26">
        <v>0</v>
      </c>
      <c r="C8" s="26">
        <v>0</v>
      </c>
      <c r="D8" s="26">
        <v>0</v>
      </c>
      <c r="E8" s="26">
        <v>0</v>
      </c>
      <c r="F8" s="26">
        <v>0</v>
      </c>
      <c r="G8" s="26">
        <v>0</v>
      </c>
      <c r="H8" s="26">
        <v>0</v>
      </c>
      <c r="I8" s="26">
        <v>0</v>
      </c>
      <c r="J8" s="26">
        <v>0</v>
      </c>
      <c r="K8" s="26">
        <v>0</v>
      </c>
      <c r="L8" s="1">
        <f>VLOOKUP(Table3[[#This Row],[Date]],SW_LU[],3,TRUE)</f>
        <v>41</v>
      </c>
      <c r="M8" s="10"/>
      <c r="N8" s="1"/>
      <c r="O8" s="24">
        <v>45</v>
      </c>
      <c r="P8" s="25">
        <v>1.95</v>
      </c>
      <c r="Q8" s="25">
        <v>6.2700000000000005</v>
      </c>
      <c r="R8" s="25">
        <v>0</v>
      </c>
      <c r="S8" s="25">
        <v>3.4800000000000004</v>
      </c>
      <c r="T8" s="25">
        <v>1.2999999999999998</v>
      </c>
      <c r="U8" s="25">
        <v>0</v>
      </c>
      <c r="V8" s="25">
        <v>0</v>
      </c>
      <c r="W8" s="25">
        <v>0</v>
      </c>
    </row>
    <row r="9" spans="1:23" x14ac:dyDescent="0.3">
      <c r="A9" s="10">
        <v>45748</v>
      </c>
      <c r="B9" s="26">
        <v>0</v>
      </c>
      <c r="C9" s="26">
        <v>0</v>
      </c>
      <c r="D9" s="26">
        <v>0</v>
      </c>
      <c r="E9" s="26">
        <v>0</v>
      </c>
      <c r="F9" s="26">
        <v>0</v>
      </c>
      <c r="G9" s="26">
        <v>0</v>
      </c>
      <c r="H9" s="26">
        <v>0</v>
      </c>
      <c r="I9" s="26">
        <v>0</v>
      </c>
      <c r="J9" s="26">
        <v>0</v>
      </c>
      <c r="K9" s="26">
        <v>0</v>
      </c>
      <c r="L9" s="1">
        <f>VLOOKUP(Table3[[#This Row],[Date]],SW_LU[],3,TRUE)</f>
        <v>41</v>
      </c>
      <c r="M9" s="10"/>
      <c r="N9" s="1"/>
      <c r="O9" s="24">
        <v>51</v>
      </c>
      <c r="P9" s="25">
        <v>1.6499999999999997</v>
      </c>
      <c r="Q9" s="25">
        <v>5.3100000000000005</v>
      </c>
      <c r="R9" s="25">
        <v>0</v>
      </c>
      <c r="S9" s="25">
        <v>2.94</v>
      </c>
      <c r="T9" s="25">
        <v>1.0999999999999999</v>
      </c>
      <c r="U9" s="25">
        <v>0</v>
      </c>
      <c r="V9" s="25">
        <v>0</v>
      </c>
      <c r="W9" s="25">
        <v>0</v>
      </c>
    </row>
    <row r="10" spans="1:23" x14ac:dyDescent="0.3">
      <c r="A10" s="10">
        <v>45749</v>
      </c>
      <c r="B10" s="26">
        <v>1</v>
      </c>
      <c r="C10" s="26">
        <v>0</v>
      </c>
      <c r="D10" s="26">
        <v>0.15</v>
      </c>
      <c r="E10" s="26">
        <v>0.48</v>
      </c>
      <c r="F10" s="26">
        <v>0</v>
      </c>
      <c r="G10" s="26">
        <v>0.27</v>
      </c>
      <c r="H10" s="26">
        <v>0.1</v>
      </c>
      <c r="I10" s="26">
        <v>0</v>
      </c>
      <c r="J10" s="26">
        <v>0</v>
      </c>
      <c r="K10" s="26">
        <v>0</v>
      </c>
      <c r="L10" s="1">
        <f>VLOOKUP(Table3[[#This Row],[Date]],SW_LU[],3,TRUE)</f>
        <v>41</v>
      </c>
      <c r="M10" s="10"/>
      <c r="N10" s="1"/>
      <c r="O10" s="24">
        <v>52</v>
      </c>
      <c r="P10" s="25">
        <v>3</v>
      </c>
      <c r="Q10" s="25">
        <v>9.67</v>
      </c>
      <c r="R10" s="25">
        <v>0</v>
      </c>
      <c r="S10" s="25">
        <v>5.33</v>
      </c>
      <c r="T10" s="25">
        <v>2</v>
      </c>
      <c r="U10" s="25">
        <v>0</v>
      </c>
      <c r="V10" s="25">
        <v>0</v>
      </c>
      <c r="W10" s="25">
        <v>0</v>
      </c>
    </row>
    <row r="11" spans="1:23" x14ac:dyDescent="0.3">
      <c r="A11" s="10">
        <v>45750</v>
      </c>
      <c r="B11" s="26">
        <v>2</v>
      </c>
      <c r="C11" s="26">
        <v>0</v>
      </c>
      <c r="D11" s="26">
        <v>0.3</v>
      </c>
      <c r="E11" s="26">
        <v>0.97</v>
      </c>
      <c r="F11" s="26">
        <v>0</v>
      </c>
      <c r="G11" s="26">
        <v>0.53</v>
      </c>
      <c r="H11" s="26">
        <v>0.2</v>
      </c>
      <c r="I11" s="26">
        <v>0</v>
      </c>
      <c r="J11" s="26">
        <v>0</v>
      </c>
      <c r="K11" s="26">
        <v>0</v>
      </c>
      <c r="L11" s="1">
        <f>VLOOKUP(Table3[[#This Row],[Date]],SW_LU[],3,TRUE)</f>
        <v>42</v>
      </c>
      <c r="M11" s="10"/>
      <c r="N11" s="1"/>
      <c r="O11" s="24">
        <v>53</v>
      </c>
      <c r="P11" s="25">
        <v>7.3499999999999988</v>
      </c>
      <c r="Q11" s="25">
        <v>23.68</v>
      </c>
      <c r="R11" s="25">
        <v>0</v>
      </c>
      <c r="S11" s="25">
        <v>13.07</v>
      </c>
      <c r="T11" s="25">
        <v>4.9000000000000004</v>
      </c>
      <c r="U11" s="25">
        <v>0</v>
      </c>
      <c r="V11" s="25">
        <v>0</v>
      </c>
      <c r="W11" s="25">
        <v>0</v>
      </c>
    </row>
    <row r="12" spans="1:23" x14ac:dyDescent="0.3">
      <c r="A12" s="10">
        <v>45751</v>
      </c>
      <c r="B12" s="26">
        <v>2</v>
      </c>
      <c r="C12" s="26">
        <v>0</v>
      </c>
      <c r="D12" s="26">
        <v>0.3</v>
      </c>
      <c r="E12" s="26">
        <v>0.97</v>
      </c>
      <c r="F12" s="26">
        <v>0</v>
      </c>
      <c r="G12" s="26">
        <v>0.53</v>
      </c>
      <c r="H12" s="26">
        <v>0.2</v>
      </c>
      <c r="I12" s="26">
        <v>0</v>
      </c>
      <c r="J12" s="26">
        <v>0</v>
      </c>
      <c r="K12" s="26">
        <v>0</v>
      </c>
      <c r="L12" s="1">
        <f>VLOOKUP(Table3[[#This Row],[Date]],SW_LU[],3,TRUE)</f>
        <v>42</v>
      </c>
      <c r="M12" s="10"/>
      <c r="N12" s="1"/>
      <c r="O12" s="24">
        <v>54</v>
      </c>
      <c r="P12" s="25">
        <v>28.65</v>
      </c>
      <c r="Q12" s="25">
        <v>92.32</v>
      </c>
      <c r="R12" s="25">
        <v>0</v>
      </c>
      <c r="S12" s="25">
        <v>50.93</v>
      </c>
      <c r="T12" s="25">
        <v>19.099999999999998</v>
      </c>
      <c r="U12" s="25">
        <v>0</v>
      </c>
      <c r="V12" s="25">
        <v>0</v>
      </c>
      <c r="W12" s="25">
        <v>0</v>
      </c>
    </row>
    <row r="13" spans="1:23" x14ac:dyDescent="0.3">
      <c r="A13" s="10">
        <v>45752</v>
      </c>
      <c r="B13" s="26">
        <v>1</v>
      </c>
      <c r="C13" s="26">
        <v>0</v>
      </c>
      <c r="D13" s="26">
        <v>0.15</v>
      </c>
      <c r="E13" s="26">
        <v>0.48</v>
      </c>
      <c r="F13" s="26">
        <v>0</v>
      </c>
      <c r="G13" s="26">
        <v>0.27</v>
      </c>
      <c r="H13" s="26">
        <v>0.1</v>
      </c>
      <c r="I13" s="26">
        <v>0</v>
      </c>
      <c r="J13" s="26">
        <v>0</v>
      </c>
      <c r="K13" s="26">
        <v>0</v>
      </c>
      <c r="L13" s="1">
        <f>VLOOKUP(Table3[[#This Row],[Date]],SW_LU[],3,TRUE)</f>
        <v>42</v>
      </c>
      <c r="M13" s="10"/>
      <c r="N13" s="1"/>
      <c r="O13" s="24">
        <v>61</v>
      </c>
      <c r="P13" s="25">
        <v>100.05000000000001</v>
      </c>
      <c r="Q13" s="25">
        <v>322.36</v>
      </c>
      <c r="R13" s="25">
        <v>0</v>
      </c>
      <c r="S13" s="25">
        <v>177.89</v>
      </c>
      <c r="T13" s="25">
        <v>66.7</v>
      </c>
      <c r="U13" s="25">
        <v>0</v>
      </c>
      <c r="V13" s="25">
        <v>0</v>
      </c>
      <c r="W13" s="25">
        <v>0</v>
      </c>
    </row>
    <row r="14" spans="1:23" x14ac:dyDescent="0.3">
      <c r="A14" s="10">
        <v>45753</v>
      </c>
      <c r="B14" s="26">
        <v>2</v>
      </c>
      <c r="C14" s="26">
        <v>0</v>
      </c>
      <c r="D14" s="26">
        <v>0.3</v>
      </c>
      <c r="E14" s="26">
        <v>0.97</v>
      </c>
      <c r="F14" s="26">
        <v>0</v>
      </c>
      <c r="G14" s="26">
        <v>0.53</v>
      </c>
      <c r="H14" s="26">
        <v>0.2</v>
      </c>
      <c r="I14" s="26">
        <v>0</v>
      </c>
      <c r="J14" s="26">
        <v>0</v>
      </c>
      <c r="K14" s="26">
        <v>0</v>
      </c>
      <c r="L14" s="1">
        <f>VLOOKUP(Table3[[#This Row],[Date]],SW_LU[],3,TRUE)</f>
        <v>42</v>
      </c>
      <c r="M14" s="10"/>
      <c r="N14" s="1"/>
      <c r="O14" s="24">
        <v>62</v>
      </c>
      <c r="P14" s="25">
        <v>126.15</v>
      </c>
      <c r="Q14" s="25">
        <v>406.46000000000009</v>
      </c>
      <c r="R14" s="25">
        <v>0</v>
      </c>
      <c r="S14" s="25">
        <v>224.29000000000002</v>
      </c>
      <c r="T14" s="25">
        <v>84.1</v>
      </c>
      <c r="U14" s="25">
        <v>0</v>
      </c>
      <c r="V14" s="25">
        <v>0</v>
      </c>
      <c r="W14" s="25">
        <v>0</v>
      </c>
    </row>
    <row r="15" spans="1:23" x14ac:dyDescent="0.3">
      <c r="A15" s="10">
        <v>45754</v>
      </c>
      <c r="B15" s="26">
        <v>0</v>
      </c>
      <c r="C15" s="26">
        <v>0</v>
      </c>
      <c r="D15" s="26">
        <v>0</v>
      </c>
      <c r="E15" s="26">
        <v>0</v>
      </c>
      <c r="F15" s="26">
        <v>0</v>
      </c>
      <c r="G15" s="26">
        <v>0</v>
      </c>
      <c r="H15" s="26">
        <v>0</v>
      </c>
      <c r="I15" s="26">
        <v>0</v>
      </c>
      <c r="J15" s="26">
        <v>0</v>
      </c>
      <c r="K15" s="26">
        <v>0</v>
      </c>
      <c r="L15" s="1">
        <f>VLOOKUP(Table3[[#This Row],[Date]],SW_LU[],3,TRUE)</f>
        <v>42</v>
      </c>
      <c r="M15" s="10"/>
      <c r="N15" s="1"/>
      <c r="O15" s="24">
        <v>63</v>
      </c>
      <c r="P15" s="25">
        <v>1220.24</v>
      </c>
      <c r="Q15" s="25">
        <v>4779.82</v>
      </c>
      <c r="R15" s="25">
        <v>254.34</v>
      </c>
      <c r="S15" s="25">
        <v>2211.9499999999998</v>
      </c>
      <c r="T15" s="25">
        <v>432.32000000000005</v>
      </c>
      <c r="U15" s="25">
        <v>0</v>
      </c>
      <c r="V15" s="25">
        <v>127.35</v>
      </c>
      <c r="W15" s="25">
        <v>0</v>
      </c>
    </row>
    <row r="16" spans="1:23" x14ac:dyDescent="0.3">
      <c r="A16" s="10">
        <v>45755</v>
      </c>
      <c r="B16" s="26">
        <v>0</v>
      </c>
      <c r="C16" s="26">
        <v>0</v>
      </c>
      <c r="D16" s="26">
        <v>0</v>
      </c>
      <c r="E16" s="26">
        <v>0</v>
      </c>
      <c r="F16" s="26">
        <v>0</v>
      </c>
      <c r="G16" s="26">
        <v>0</v>
      </c>
      <c r="H16" s="26">
        <v>0</v>
      </c>
      <c r="I16" s="26">
        <v>0</v>
      </c>
      <c r="J16" s="26">
        <v>0</v>
      </c>
      <c r="K16" s="26">
        <v>0</v>
      </c>
      <c r="L16" s="1">
        <f>VLOOKUP(Table3[[#This Row],[Date]],SW_LU[],3,TRUE)</f>
        <v>42</v>
      </c>
      <c r="M16" s="10"/>
      <c r="N16" s="1"/>
      <c r="O16" s="24">
        <v>64</v>
      </c>
      <c r="P16" s="25">
        <v>5573.7199999999993</v>
      </c>
      <c r="Q16" s="25">
        <v>11516.990000000002</v>
      </c>
      <c r="R16" s="25">
        <v>97.97</v>
      </c>
      <c r="S16" s="25">
        <v>2133.2199999999998</v>
      </c>
      <c r="T16" s="25">
        <v>275.14</v>
      </c>
      <c r="U16" s="25">
        <v>0</v>
      </c>
      <c r="V16" s="25">
        <v>200.94</v>
      </c>
      <c r="W16" s="25">
        <v>0</v>
      </c>
    </row>
    <row r="17" spans="1:23" x14ac:dyDescent="0.3">
      <c r="A17" s="10">
        <v>45756</v>
      </c>
      <c r="B17" s="26">
        <v>1</v>
      </c>
      <c r="C17" s="26">
        <v>0</v>
      </c>
      <c r="D17" s="26">
        <v>0.15</v>
      </c>
      <c r="E17" s="26">
        <v>0.48</v>
      </c>
      <c r="F17" s="26">
        <v>0</v>
      </c>
      <c r="G17" s="26">
        <v>0.27</v>
      </c>
      <c r="H17" s="26">
        <v>0.1</v>
      </c>
      <c r="I17" s="26">
        <v>0</v>
      </c>
      <c r="J17" s="26">
        <v>0</v>
      </c>
      <c r="K17" s="26">
        <v>0</v>
      </c>
      <c r="L17" s="1">
        <f>VLOOKUP(Table3[[#This Row],[Date]],SW_LU[],3,TRUE)</f>
        <v>42</v>
      </c>
      <c r="M17" s="10"/>
      <c r="N17" s="1"/>
      <c r="O17" s="24">
        <v>71</v>
      </c>
      <c r="P17" s="25">
        <v>6441.1799999999985</v>
      </c>
      <c r="Q17" s="25">
        <v>4323.49</v>
      </c>
      <c r="R17" s="25">
        <v>661.5100000000001</v>
      </c>
      <c r="S17" s="25">
        <v>2176.7199999999998</v>
      </c>
      <c r="T17" s="25">
        <v>485.90000000000003</v>
      </c>
      <c r="U17" s="25">
        <v>0</v>
      </c>
      <c r="V17" s="25">
        <v>145.19999999999999</v>
      </c>
      <c r="W17" s="25">
        <v>0</v>
      </c>
    </row>
    <row r="18" spans="1:23" x14ac:dyDescent="0.3">
      <c r="A18" s="10">
        <v>45757</v>
      </c>
      <c r="B18" s="26">
        <v>0</v>
      </c>
      <c r="C18" s="26">
        <v>0</v>
      </c>
      <c r="D18" s="26">
        <v>0</v>
      </c>
      <c r="E18" s="26">
        <v>0</v>
      </c>
      <c r="F18" s="26">
        <v>0</v>
      </c>
      <c r="G18" s="26">
        <v>0</v>
      </c>
      <c r="H18" s="26">
        <v>0</v>
      </c>
      <c r="I18" s="26">
        <v>0</v>
      </c>
      <c r="J18" s="26">
        <v>0</v>
      </c>
      <c r="K18" s="26">
        <v>0</v>
      </c>
      <c r="L18" s="1">
        <f>VLOOKUP(Table3[[#This Row],[Date]],SW_LU[],3,TRUE)</f>
        <v>43</v>
      </c>
      <c r="M18" s="10"/>
      <c r="N18" s="1"/>
      <c r="O18" s="24">
        <v>72</v>
      </c>
      <c r="P18" s="25">
        <v>7320.1599999999989</v>
      </c>
      <c r="Q18" s="25">
        <v>3893.64</v>
      </c>
      <c r="R18" s="25">
        <v>407.78000000000003</v>
      </c>
      <c r="S18" s="25">
        <v>1612.5</v>
      </c>
      <c r="T18" s="25">
        <v>614.74000000000012</v>
      </c>
      <c r="U18" s="25">
        <v>0</v>
      </c>
      <c r="V18" s="25">
        <v>161.19</v>
      </c>
      <c r="W18" s="25">
        <v>0</v>
      </c>
    </row>
    <row r="19" spans="1:23" x14ac:dyDescent="0.3">
      <c r="A19" s="10">
        <v>45758</v>
      </c>
      <c r="B19" s="26">
        <v>0</v>
      </c>
      <c r="C19" s="26">
        <v>0</v>
      </c>
      <c r="D19" s="26">
        <v>0</v>
      </c>
      <c r="E19" s="26">
        <v>0</v>
      </c>
      <c r="F19" s="26">
        <v>0</v>
      </c>
      <c r="G19" s="26">
        <v>0</v>
      </c>
      <c r="H19" s="26">
        <v>0</v>
      </c>
      <c r="I19" s="26">
        <v>0</v>
      </c>
      <c r="J19" s="26">
        <v>0</v>
      </c>
      <c r="K19" s="26">
        <v>0</v>
      </c>
      <c r="L19" s="1">
        <f>VLOOKUP(Table3[[#This Row],[Date]],SW_LU[],3,TRUE)</f>
        <v>43</v>
      </c>
      <c r="M19" s="10"/>
      <c r="N19" s="1"/>
      <c r="O19" s="24">
        <v>73</v>
      </c>
      <c r="P19" s="25">
        <v>7256.58</v>
      </c>
      <c r="Q19" s="25">
        <v>3844.39</v>
      </c>
      <c r="R19" s="25">
        <v>409.9</v>
      </c>
      <c r="S19" s="25">
        <v>1325.3799999999999</v>
      </c>
      <c r="T19" s="25">
        <v>455.09</v>
      </c>
      <c r="U19" s="25">
        <v>0</v>
      </c>
      <c r="V19" s="25">
        <v>46.67</v>
      </c>
      <c r="W19" s="25">
        <v>0</v>
      </c>
    </row>
    <row r="20" spans="1:23" x14ac:dyDescent="0.3">
      <c r="A20" s="10">
        <v>45759</v>
      </c>
      <c r="B20" s="26">
        <v>1</v>
      </c>
      <c r="C20" s="26">
        <v>0</v>
      </c>
      <c r="D20" s="26">
        <v>0.15</v>
      </c>
      <c r="E20" s="26">
        <v>0.48</v>
      </c>
      <c r="F20" s="26">
        <v>0</v>
      </c>
      <c r="G20" s="26">
        <v>0.27</v>
      </c>
      <c r="H20" s="26">
        <v>0.1</v>
      </c>
      <c r="I20" s="26">
        <v>0</v>
      </c>
      <c r="J20" s="26">
        <v>0</v>
      </c>
      <c r="K20" s="26">
        <v>0</v>
      </c>
      <c r="L20" s="1">
        <f>VLOOKUP(Table3[[#This Row],[Date]],SW_LU[],3,TRUE)</f>
        <v>43</v>
      </c>
      <c r="M20" s="10"/>
      <c r="N20" s="1"/>
      <c r="O20" s="24">
        <v>74</v>
      </c>
      <c r="P20" s="25">
        <v>4487.8599999999997</v>
      </c>
      <c r="Q20" s="25">
        <v>1570.67</v>
      </c>
      <c r="R20" s="25">
        <v>797.65</v>
      </c>
      <c r="S20" s="25">
        <v>475.18</v>
      </c>
      <c r="T20" s="25">
        <v>180.64</v>
      </c>
      <c r="U20" s="25">
        <v>0</v>
      </c>
      <c r="V20" s="25">
        <v>56.980000000000004</v>
      </c>
      <c r="W20" s="25">
        <v>0</v>
      </c>
    </row>
    <row r="21" spans="1:23" x14ac:dyDescent="0.3">
      <c r="A21" s="10">
        <v>45760</v>
      </c>
      <c r="B21" s="26">
        <v>0</v>
      </c>
      <c r="C21" s="26">
        <v>0</v>
      </c>
      <c r="D21" s="26">
        <v>0</v>
      </c>
      <c r="E21" s="26">
        <v>0</v>
      </c>
      <c r="F21" s="26">
        <v>0</v>
      </c>
      <c r="G21" s="26">
        <v>0</v>
      </c>
      <c r="H21" s="26">
        <v>0</v>
      </c>
      <c r="I21" s="26">
        <v>0</v>
      </c>
      <c r="J21" s="26">
        <v>0</v>
      </c>
      <c r="K21" s="26">
        <v>0</v>
      </c>
      <c r="L21" s="1">
        <f>VLOOKUP(Table3[[#This Row],[Date]],SW_LU[],3,TRUE)</f>
        <v>43</v>
      </c>
      <c r="M21" s="10"/>
      <c r="N21" s="1"/>
      <c r="O21" s="24">
        <v>75</v>
      </c>
      <c r="P21" s="25">
        <v>4926.79</v>
      </c>
      <c r="Q21" s="25">
        <v>3501.7400000000002</v>
      </c>
      <c r="R21" s="25">
        <v>930.16</v>
      </c>
      <c r="S21" s="25">
        <v>1327.13</v>
      </c>
      <c r="T21" s="25">
        <v>310.62</v>
      </c>
      <c r="U21" s="25">
        <v>0</v>
      </c>
      <c r="V21" s="25">
        <v>42.57</v>
      </c>
      <c r="W21" s="25">
        <v>0</v>
      </c>
    </row>
    <row r="22" spans="1:23" x14ac:dyDescent="0.3">
      <c r="A22" s="10">
        <v>45761</v>
      </c>
      <c r="B22" s="26">
        <v>0</v>
      </c>
      <c r="C22" s="26">
        <v>0</v>
      </c>
      <c r="D22" s="26">
        <v>0</v>
      </c>
      <c r="E22" s="26">
        <v>0</v>
      </c>
      <c r="F22" s="26">
        <v>0</v>
      </c>
      <c r="G22" s="26">
        <v>0</v>
      </c>
      <c r="H22" s="26">
        <v>0</v>
      </c>
      <c r="I22" s="26">
        <v>0</v>
      </c>
      <c r="J22" s="26">
        <v>0</v>
      </c>
      <c r="K22" s="26">
        <v>0</v>
      </c>
      <c r="L22" s="1">
        <f>VLOOKUP(Table3[[#This Row],[Date]],SW_LU[],3,TRUE)</f>
        <v>43</v>
      </c>
      <c r="M22" s="10"/>
      <c r="N22" s="1"/>
      <c r="O22" s="24">
        <v>81</v>
      </c>
      <c r="P22" s="25">
        <v>1672.7299999999998</v>
      </c>
      <c r="Q22" s="25">
        <v>1574.02</v>
      </c>
      <c r="R22" s="25">
        <v>196.96</v>
      </c>
      <c r="S22" s="25">
        <v>688.73</v>
      </c>
      <c r="T22" s="25">
        <v>98.27</v>
      </c>
      <c r="U22" s="25">
        <v>0</v>
      </c>
      <c r="V22" s="25">
        <v>98.27</v>
      </c>
      <c r="W22" s="25">
        <v>0</v>
      </c>
    </row>
    <row r="23" spans="1:23" x14ac:dyDescent="0.3">
      <c r="A23" s="10">
        <v>45762</v>
      </c>
      <c r="B23" s="26">
        <v>0</v>
      </c>
      <c r="C23" s="26">
        <v>0</v>
      </c>
      <c r="D23" s="26">
        <v>0</v>
      </c>
      <c r="E23" s="26">
        <v>0</v>
      </c>
      <c r="F23" s="26">
        <v>0</v>
      </c>
      <c r="G23" s="26">
        <v>0</v>
      </c>
      <c r="H23" s="26">
        <v>0</v>
      </c>
      <c r="I23" s="26">
        <v>0</v>
      </c>
      <c r="J23" s="26">
        <v>0</v>
      </c>
      <c r="K23" s="26">
        <v>0</v>
      </c>
      <c r="L23" s="1">
        <f>VLOOKUP(Table3[[#This Row],[Date]],SW_LU[],3,TRUE)</f>
        <v>43</v>
      </c>
      <c r="M23" s="10"/>
      <c r="N23" s="1"/>
      <c r="O23" s="24">
        <v>82</v>
      </c>
      <c r="P23" s="25">
        <v>1482.2399999999998</v>
      </c>
      <c r="Q23" s="25">
        <v>1394.7600000000002</v>
      </c>
      <c r="R23" s="25">
        <v>174.54000000000002</v>
      </c>
      <c r="S23" s="25">
        <v>610.31000000000006</v>
      </c>
      <c r="T23" s="25">
        <v>87.08</v>
      </c>
      <c r="U23" s="25">
        <v>0</v>
      </c>
      <c r="V23" s="25">
        <v>87.08</v>
      </c>
      <c r="W23" s="25">
        <v>0</v>
      </c>
    </row>
    <row r="24" spans="1:23" x14ac:dyDescent="0.3">
      <c r="A24" s="10">
        <v>45763</v>
      </c>
      <c r="B24" s="26">
        <v>0</v>
      </c>
      <c r="C24" s="26">
        <v>0</v>
      </c>
      <c r="D24" s="26">
        <v>0</v>
      </c>
      <c r="E24" s="26">
        <v>0</v>
      </c>
      <c r="F24" s="26">
        <v>0</v>
      </c>
      <c r="G24" s="26">
        <v>0</v>
      </c>
      <c r="H24" s="26">
        <v>0</v>
      </c>
      <c r="I24" s="26">
        <v>0</v>
      </c>
      <c r="J24" s="26">
        <v>0</v>
      </c>
      <c r="K24" s="26">
        <v>0</v>
      </c>
      <c r="L24" s="1">
        <f>VLOOKUP(Table3[[#This Row],[Date]],SW_LU[],3,TRUE)</f>
        <v>43</v>
      </c>
      <c r="M24" s="10"/>
      <c r="N24" s="1"/>
      <c r="O24" s="24">
        <v>83</v>
      </c>
      <c r="P24" s="25">
        <v>659.97</v>
      </c>
      <c r="Q24" s="25">
        <v>621.03</v>
      </c>
      <c r="R24" s="25">
        <v>77.72</v>
      </c>
      <c r="S24" s="25">
        <v>271.75</v>
      </c>
      <c r="T24" s="25">
        <v>38.769999999999996</v>
      </c>
      <c r="U24" s="25">
        <v>0</v>
      </c>
      <c r="V24" s="25">
        <v>38.769999999999996</v>
      </c>
      <c r="W24" s="25">
        <v>0</v>
      </c>
    </row>
    <row r="25" spans="1:23" x14ac:dyDescent="0.3">
      <c r="A25" s="10">
        <v>45764</v>
      </c>
      <c r="B25" s="26">
        <v>0</v>
      </c>
      <c r="C25" s="26">
        <v>0</v>
      </c>
      <c r="D25" s="26">
        <v>0</v>
      </c>
      <c r="E25" s="26">
        <v>0</v>
      </c>
      <c r="F25" s="26">
        <v>0</v>
      </c>
      <c r="G25" s="26">
        <v>0</v>
      </c>
      <c r="H25" s="26">
        <v>0</v>
      </c>
      <c r="I25" s="26">
        <v>0</v>
      </c>
      <c r="J25" s="26">
        <v>0</v>
      </c>
      <c r="K25" s="26">
        <v>0</v>
      </c>
      <c r="L25" s="1">
        <f>VLOOKUP(Table3[[#This Row],[Date]],SW_LU[],3,TRUE)</f>
        <v>44</v>
      </c>
      <c r="M25" s="10"/>
      <c r="N25" s="1"/>
      <c r="O25" s="24">
        <v>84</v>
      </c>
      <c r="P25" s="25">
        <v>822.66</v>
      </c>
      <c r="Q25" s="25">
        <v>774.09</v>
      </c>
      <c r="R25" s="25">
        <v>96.88</v>
      </c>
      <c r="S25" s="25">
        <v>338.72</v>
      </c>
      <c r="T25" s="25">
        <v>48.34</v>
      </c>
      <c r="U25" s="25">
        <v>0</v>
      </c>
      <c r="V25" s="25">
        <v>48.34</v>
      </c>
      <c r="W25" s="25">
        <v>0</v>
      </c>
    </row>
    <row r="26" spans="1:23" x14ac:dyDescent="0.3">
      <c r="A26" s="10">
        <v>45765</v>
      </c>
      <c r="B26" s="26">
        <v>0</v>
      </c>
      <c r="C26" s="26">
        <v>0</v>
      </c>
      <c r="D26" s="26">
        <v>0</v>
      </c>
      <c r="E26" s="26">
        <v>0</v>
      </c>
      <c r="F26" s="26">
        <v>0</v>
      </c>
      <c r="G26" s="26">
        <v>0</v>
      </c>
      <c r="H26" s="26">
        <v>0</v>
      </c>
      <c r="I26" s="26">
        <v>0</v>
      </c>
      <c r="J26" s="26">
        <v>0</v>
      </c>
      <c r="K26" s="26">
        <v>0</v>
      </c>
      <c r="L26" s="1">
        <f>VLOOKUP(Table3[[#This Row],[Date]],SW_LU[],3,TRUE)</f>
        <v>44</v>
      </c>
      <c r="M26" s="10"/>
      <c r="N26" s="1"/>
      <c r="O26" s="24">
        <v>91</v>
      </c>
      <c r="P26" s="25">
        <v>105.89000000000001</v>
      </c>
      <c r="Q26" s="25">
        <v>99.609999999999985</v>
      </c>
      <c r="R26" s="25">
        <v>12.47</v>
      </c>
      <c r="S26" s="25">
        <v>43.58</v>
      </c>
      <c r="T26" s="25">
        <v>6.24</v>
      </c>
      <c r="U26" s="25">
        <v>0</v>
      </c>
      <c r="V26" s="25">
        <v>6.24</v>
      </c>
      <c r="W26" s="25">
        <v>0</v>
      </c>
    </row>
    <row r="27" spans="1:23" x14ac:dyDescent="0.3">
      <c r="A27" s="10">
        <v>45766</v>
      </c>
      <c r="B27" s="26">
        <v>0</v>
      </c>
      <c r="C27" s="26">
        <v>0</v>
      </c>
      <c r="D27" s="26">
        <v>0</v>
      </c>
      <c r="E27" s="26">
        <v>0</v>
      </c>
      <c r="F27" s="26">
        <v>0</v>
      </c>
      <c r="G27" s="26">
        <v>0</v>
      </c>
      <c r="H27" s="26">
        <v>0</v>
      </c>
      <c r="I27" s="26">
        <v>0</v>
      </c>
      <c r="J27" s="26">
        <v>0</v>
      </c>
      <c r="K27" s="26">
        <v>0</v>
      </c>
      <c r="L27" s="1">
        <f>VLOOKUP(Table3[[#This Row],[Date]],SW_LU[],3,TRUE)</f>
        <v>44</v>
      </c>
      <c r="M27" s="10"/>
      <c r="N27" s="1"/>
      <c r="O27" s="24">
        <v>92</v>
      </c>
      <c r="P27" s="25">
        <v>43.67</v>
      </c>
      <c r="Q27" s="25">
        <v>41.08</v>
      </c>
      <c r="R27" s="25">
        <v>5.15</v>
      </c>
      <c r="S27" s="25">
        <v>17.97</v>
      </c>
      <c r="T27" s="25">
        <v>2.5700000000000003</v>
      </c>
      <c r="U27" s="25">
        <v>0</v>
      </c>
      <c r="V27" s="25">
        <v>2.5700000000000003</v>
      </c>
      <c r="W27" s="25">
        <v>0</v>
      </c>
    </row>
    <row r="28" spans="1:23" x14ac:dyDescent="0.3">
      <c r="A28" s="10">
        <v>45767</v>
      </c>
      <c r="B28" s="26">
        <v>0</v>
      </c>
      <c r="C28" s="26">
        <v>0</v>
      </c>
      <c r="D28" s="26">
        <v>0</v>
      </c>
      <c r="E28" s="26">
        <v>0</v>
      </c>
      <c r="F28" s="26">
        <v>0</v>
      </c>
      <c r="G28" s="26">
        <v>0</v>
      </c>
      <c r="H28" s="26">
        <v>0</v>
      </c>
      <c r="I28" s="26">
        <v>0</v>
      </c>
      <c r="J28" s="26">
        <v>0</v>
      </c>
      <c r="K28" s="26">
        <v>0</v>
      </c>
      <c r="L28" s="1">
        <f>VLOOKUP(Table3[[#This Row],[Date]],SW_LU[],3,TRUE)</f>
        <v>44</v>
      </c>
      <c r="M28" s="10"/>
      <c r="N28" s="1"/>
      <c r="O28" s="24">
        <v>93</v>
      </c>
      <c r="P28" s="25">
        <v>75.72999999999999</v>
      </c>
      <c r="Q28" s="25">
        <v>71.27000000000001</v>
      </c>
      <c r="R28" s="25">
        <v>8.92</v>
      </c>
      <c r="S28" s="25">
        <v>31.19</v>
      </c>
      <c r="T28" s="25">
        <v>4.4600000000000009</v>
      </c>
      <c r="U28" s="25">
        <v>0</v>
      </c>
      <c r="V28" s="25">
        <v>4.4600000000000009</v>
      </c>
      <c r="W28" s="25">
        <v>0</v>
      </c>
    </row>
    <row r="29" spans="1:23" x14ac:dyDescent="0.3">
      <c r="A29" s="10">
        <v>45768</v>
      </c>
      <c r="B29" s="26">
        <v>2</v>
      </c>
      <c r="C29" s="26">
        <v>0</v>
      </c>
      <c r="D29" s="26">
        <v>0.3</v>
      </c>
      <c r="E29" s="26">
        <v>0.97</v>
      </c>
      <c r="F29" s="26">
        <v>0</v>
      </c>
      <c r="G29" s="26">
        <v>0.53</v>
      </c>
      <c r="H29" s="26">
        <v>0.2</v>
      </c>
      <c r="I29" s="26">
        <v>0</v>
      </c>
      <c r="J29" s="26">
        <v>0</v>
      </c>
      <c r="K29" s="26">
        <v>0</v>
      </c>
      <c r="L29" s="1">
        <f>VLOOKUP(Table3[[#This Row],[Date]],SW_LU[],3,TRUE)</f>
        <v>44</v>
      </c>
      <c r="M29" s="10"/>
      <c r="N29" s="1"/>
      <c r="O29" s="24">
        <v>94</v>
      </c>
      <c r="P29" s="25">
        <v>40.180000000000007</v>
      </c>
      <c r="Q29" s="25">
        <v>37.819999999999993</v>
      </c>
      <c r="R29" s="25">
        <v>4.74</v>
      </c>
      <c r="S29" s="25">
        <v>16.55</v>
      </c>
      <c r="T29" s="25">
        <v>2.3600000000000003</v>
      </c>
      <c r="U29" s="25">
        <v>0</v>
      </c>
      <c r="V29" s="25">
        <v>2.3600000000000003</v>
      </c>
      <c r="W29" s="25">
        <v>0</v>
      </c>
    </row>
    <row r="30" spans="1:23" x14ac:dyDescent="0.3">
      <c r="A30" s="10">
        <v>45769</v>
      </c>
      <c r="B30" s="26">
        <v>0</v>
      </c>
      <c r="C30" s="26">
        <v>0</v>
      </c>
      <c r="D30" s="26">
        <v>0</v>
      </c>
      <c r="E30" s="26">
        <v>0</v>
      </c>
      <c r="F30" s="26">
        <v>0</v>
      </c>
      <c r="G30" s="26">
        <v>0</v>
      </c>
      <c r="H30" s="26">
        <v>0</v>
      </c>
      <c r="I30" s="26">
        <v>0</v>
      </c>
      <c r="J30" s="26">
        <v>0</v>
      </c>
      <c r="K30" s="26">
        <v>0</v>
      </c>
      <c r="L30" s="1">
        <f>VLOOKUP(Table3[[#This Row],[Date]],SW_LU[],3,TRUE)</f>
        <v>44</v>
      </c>
      <c r="M30" s="10"/>
      <c r="N30" s="1"/>
      <c r="O30" s="24">
        <v>101</v>
      </c>
      <c r="P30" s="25">
        <v>67.240000000000009</v>
      </c>
      <c r="Q30" s="25">
        <v>63.259999999999991</v>
      </c>
      <c r="R30" s="25">
        <v>7.92</v>
      </c>
      <c r="S30" s="25">
        <v>27.669999999999998</v>
      </c>
      <c r="T30" s="25">
        <v>3.96</v>
      </c>
      <c r="U30" s="25">
        <v>0</v>
      </c>
      <c r="V30" s="25">
        <v>3.96</v>
      </c>
      <c r="W30" s="25">
        <v>0</v>
      </c>
    </row>
    <row r="31" spans="1:23" x14ac:dyDescent="0.3">
      <c r="A31" s="10">
        <v>45770</v>
      </c>
      <c r="B31" s="26">
        <v>0</v>
      </c>
      <c r="C31" s="26">
        <v>0</v>
      </c>
      <c r="D31" s="26">
        <v>0</v>
      </c>
      <c r="E31" s="26">
        <v>0</v>
      </c>
      <c r="F31" s="26">
        <v>0</v>
      </c>
      <c r="G31" s="26">
        <v>0</v>
      </c>
      <c r="H31" s="26">
        <v>0</v>
      </c>
      <c r="I31" s="26">
        <v>0</v>
      </c>
      <c r="J31" s="26">
        <v>0</v>
      </c>
      <c r="K31" s="26">
        <v>0</v>
      </c>
      <c r="L31" s="1">
        <f>VLOOKUP(Table3[[#This Row],[Date]],SW_LU[],3,TRUE)</f>
        <v>44</v>
      </c>
      <c r="M31" s="10"/>
      <c r="N31" s="1"/>
      <c r="O31" s="24">
        <v>102</v>
      </c>
      <c r="P31" s="25">
        <v>646.83999999999992</v>
      </c>
      <c r="Q31" s="25">
        <v>608.66000000000008</v>
      </c>
      <c r="R31" s="25">
        <v>76.169999999999987</v>
      </c>
      <c r="S31" s="25">
        <v>266.33000000000004</v>
      </c>
      <c r="T31" s="25">
        <v>38</v>
      </c>
      <c r="U31" s="25">
        <v>0</v>
      </c>
      <c r="V31" s="25">
        <v>38</v>
      </c>
      <c r="W31" s="25">
        <v>0</v>
      </c>
    </row>
    <row r="32" spans="1:23" x14ac:dyDescent="0.3">
      <c r="A32" s="10">
        <v>45771</v>
      </c>
      <c r="B32" s="26">
        <v>0</v>
      </c>
      <c r="C32" s="26">
        <v>0</v>
      </c>
      <c r="D32" s="26">
        <v>0</v>
      </c>
      <c r="E32" s="26">
        <v>0</v>
      </c>
      <c r="F32" s="26">
        <v>0</v>
      </c>
      <c r="G32" s="26">
        <v>0</v>
      </c>
      <c r="H32" s="26">
        <v>0</v>
      </c>
      <c r="I32" s="26">
        <v>0</v>
      </c>
      <c r="J32" s="26">
        <v>0</v>
      </c>
      <c r="K32" s="26">
        <v>0</v>
      </c>
      <c r="L32" s="1">
        <f>VLOOKUP(Table3[[#This Row],[Date]],SW_LU[],3,TRUE)</f>
        <v>45</v>
      </c>
      <c r="M32" s="10"/>
      <c r="N32" s="1"/>
      <c r="O32" s="24">
        <v>103</v>
      </c>
      <c r="P32" s="25">
        <v>68.789999999999992</v>
      </c>
      <c r="Q32" s="25">
        <v>64.710000000000008</v>
      </c>
      <c r="R32" s="25">
        <v>8.1</v>
      </c>
      <c r="S32" s="25">
        <v>28.32</v>
      </c>
      <c r="T32" s="25">
        <v>4.04</v>
      </c>
      <c r="U32" s="25">
        <v>0</v>
      </c>
      <c r="V32" s="25">
        <v>4.04</v>
      </c>
      <c r="W32" s="25">
        <v>0</v>
      </c>
    </row>
    <row r="33" spans="1:23" x14ac:dyDescent="0.3">
      <c r="A33" s="10">
        <v>45772</v>
      </c>
      <c r="B33" s="26">
        <v>3</v>
      </c>
      <c r="C33" s="26">
        <v>1</v>
      </c>
      <c r="D33" s="26">
        <v>0.6</v>
      </c>
      <c r="E33" s="26">
        <v>1.93</v>
      </c>
      <c r="F33" s="26">
        <v>0</v>
      </c>
      <c r="G33" s="26">
        <v>1.07</v>
      </c>
      <c r="H33" s="26">
        <v>0.4</v>
      </c>
      <c r="I33" s="26">
        <v>0</v>
      </c>
      <c r="J33" s="26">
        <v>0</v>
      </c>
      <c r="K33" s="26">
        <v>0</v>
      </c>
      <c r="L33" s="1">
        <f>VLOOKUP(Table3[[#This Row],[Date]],SW_LU[],3,TRUE)</f>
        <v>45</v>
      </c>
      <c r="M33" s="10"/>
      <c r="N33" s="1"/>
      <c r="O33" s="24">
        <v>104</v>
      </c>
      <c r="P33" s="25">
        <v>85.78</v>
      </c>
      <c r="Q33" s="25">
        <v>80.72</v>
      </c>
      <c r="R33" s="25">
        <v>10.09</v>
      </c>
      <c r="S33" s="25">
        <v>35.31</v>
      </c>
      <c r="T33" s="25">
        <v>5.04</v>
      </c>
      <c r="U33" s="25">
        <v>0</v>
      </c>
      <c r="V33" s="25">
        <v>5.04</v>
      </c>
      <c r="W33" s="25">
        <v>0</v>
      </c>
    </row>
    <row r="34" spans="1:23" x14ac:dyDescent="0.3">
      <c r="A34" s="10">
        <v>45773</v>
      </c>
      <c r="B34" s="26">
        <v>1</v>
      </c>
      <c r="C34" s="26">
        <v>0</v>
      </c>
      <c r="D34" s="26">
        <v>0.15</v>
      </c>
      <c r="E34" s="26">
        <v>0.48</v>
      </c>
      <c r="F34" s="26">
        <v>0</v>
      </c>
      <c r="G34" s="26">
        <v>0.27</v>
      </c>
      <c r="H34" s="26">
        <v>0.1</v>
      </c>
      <c r="I34" s="26">
        <v>0</v>
      </c>
      <c r="J34" s="26">
        <v>0</v>
      </c>
      <c r="K34" s="26">
        <v>0</v>
      </c>
      <c r="L34" s="1">
        <f>VLOOKUP(Table3[[#This Row],[Date]],SW_LU[],3,TRUE)</f>
        <v>45</v>
      </c>
      <c r="M34" s="10"/>
      <c r="N34" s="1"/>
      <c r="O34" s="24">
        <v>105</v>
      </c>
      <c r="P34" s="25">
        <v>209.44</v>
      </c>
      <c r="Q34" s="25">
        <v>197.06</v>
      </c>
      <c r="R34" s="25">
        <v>24.66</v>
      </c>
      <c r="S34" s="25">
        <v>86.22999999999999</v>
      </c>
      <c r="T34" s="25">
        <v>12.309999999999999</v>
      </c>
      <c r="U34" s="25">
        <v>0</v>
      </c>
      <c r="V34" s="25">
        <v>12.309999999999999</v>
      </c>
      <c r="W34" s="25">
        <v>0</v>
      </c>
    </row>
    <row r="35" spans="1:23" x14ac:dyDescent="0.3">
      <c r="A35" s="10">
        <v>45774</v>
      </c>
      <c r="B35" s="26">
        <v>1</v>
      </c>
      <c r="C35" s="26">
        <v>0</v>
      </c>
      <c r="D35" s="26">
        <v>0.15</v>
      </c>
      <c r="E35" s="26">
        <v>0.48</v>
      </c>
      <c r="F35" s="26">
        <v>0</v>
      </c>
      <c r="G35" s="26">
        <v>0.27</v>
      </c>
      <c r="H35" s="26">
        <v>0.1</v>
      </c>
      <c r="I35" s="26">
        <v>0</v>
      </c>
      <c r="J35" s="26">
        <v>0</v>
      </c>
      <c r="K35" s="26">
        <v>0</v>
      </c>
      <c r="L35" s="1">
        <f>VLOOKUP(Table3[[#This Row],[Date]],SW_LU[],3,TRUE)</f>
        <v>45</v>
      </c>
      <c r="M35" s="10"/>
      <c r="N35" s="1"/>
      <c r="O35" s="24">
        <v>111</v>
      </c>
      <c r="P35" s="25">
        <v>3.86</v>
      </c>
      <c r="Q35" s="25">
        <v>3.64</v>
      </c>
      <c r="R35" s="25">
        <v>0.46</v>
      </c>
      <c r="S35" s="25">
        <v>1.59</v>
      </c>
      <c r="T35" s="25">
        <v>0.23</v>
      </c>
      <c r="U35" s="25">
        <v>0</v>
      </c>
      <c r="V35" s="25">
        <v>0.23</v>
      </c>
      <c r="W35" s="25">
        <v>0</v>
      </c>
    </row>
    <row r="36" spans="1:23" x14ac:dyDescent="0.3">
      <c r="A36" s="10">
        <v>45775</v>
      </c>
      <c r="B36" s="26">
        <v>3</v>
      </c>
      <c r="C36" s="26">
        <v>0</v>
      </c>
      <c r="D36" s="26">
        <v>0.45</v>
      </c>
      <c r="E36" s="26">
        <v>1.45</v>
      </c>
      <c r="F36" s="26">
        <v>0</v>
      </c>
      <c r="G36" s="26">
        <v>0.8</v>
      </c>
      <c r="H36" s="26">
        <v>0.3</v>
      </c>
      <c r="I36" s="26">
        <v>0</v>
      </c>
      <c r="J36" s="26">
        <v>0</v>
      </c>
      <c r="K36" s="26">
        <v>0</v>
      </c>
      <c r="L36" s="1">
        <f>VLOOKUP(Table3[[#This Row],[Date]],SW_LU[],3,TRUE)</f>
        <v>45</v>
      </c>
      <c r="M36" s="10"/>
      <c r="N36" s="1"/>
      <c r="O36" s="24" t="s">
        <v>55</v>
      </c>
      <c r="P36" s="25">
        <v>43482.450000000004</v>
      </c>
      <c r="Q36" s="25">
        <v>39935.299999999988</v>
      </c>
      <c r="R36" s="25">
        <v>4264.09</v>
      </c>
      <c r="S36" s="25">
        <v>14207.999999999996</v>
      </c>
      <c r="T36" s="25">
        <v>3286.7200000000003</v>
      </c>
      <c r="U36" s="25">
        <v>0</v>
      </c>
      <c r="V36" s="25">
        <v>1132.5699999999997</v>
      </c>
      <c r="W36" s="25">
        <v>0</v>
      </c>
    </row>
    <row r="37" spans="1:23" x14ac:dyDescent="0.3">
      <c r="A37" s="10">
        <v>45776</v>
      </c>
      <c r="B37" s="26">
        <v>1</v>
      </c>
      <c r="C37" s="26">
        <v>0</v>
      </c>
      <c r="D37" s="26">
        <v>0.15</v>
      </c>
      <c r="E37" s="26">
        <v>0.48</v>
      </c>
      <c r="F37" s="26">
        <v>0</v>
      </c>
      <c r="G37" s="26">
        <v>0.27</v>
      </c>
      <c r="H37" s="26">
        <v>0.1</v>
      </c>
      <c r="I37" s="26">
        <v>0</v>
      </c>
      <c r="J37" s="26">
        <v>0</v>
      </c>
      <c r="K37" s="26">
        <v>0</v>
      </c>
      <c r="L37" s="1">
        <f>VLOOKUP(Table3[[#This Row],[Date]],SW_LU[],3,TRUE)</f>
        <v>45</v>
      </c>
      <c r="M37" s="10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:23" x14ac:dyDescent="0.3">
      <c r="A38" s="10">
        <v>45777</v>
      </c>
      <c r="B38" s="26">
        <v>3</v>
      </c>
      <c r="C38" s="26">
        <v>0</v>
      </c>
      <c r="D38" s="26">
        <v>0.45</v>
      </c>
      <c r="E38" s="26">
        <v>1.45</v>
      </c>
      <c r="F38" s="26">
        <v>0</v>
      </c>
      <c r="G38" s="26">
        <v>0.8</v>
      </c>
      <c r="H38" s="26">
        <v>0.3</v>
      </c>
      <c r="I38" s="26">
        <v>0</v>
      </c>
      <c r="J38" s="26">
        <v>0</v>
      </c>
      <c r="K38" s="26">
        <v>0</v>
      </c>
      <c r="L38" s="1">
        <f>VLOOKUP(Table3[[#This Row],[Date]],SW_LU[],3,TRUE)</f>
        <v>45</v>
      </c>
      <c r="M38" s="10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:23" x14ac:dyDescent="0.3">
      <c r="A39" s="10">
        <v>45778</v>
      </c>
      <c r="B39" s="26">
        <v>2</v>
      </c>
      <c r="C39" s="26">
        <v>0</v>
      </c>
      <c r="D39" s="26">
        <v>0.3</v>
      </c>
      <c r="E39" s="26">
        <v>0.97</v>
      </c>
      <c r="F39" s="26">
        <v>0</v>
      </c>
      <c r="G39" s="26">
        <v>0.53</v>
      </c>
      <c r="H39" s="26">
        <v>0.2</v>
      </c>
      <c r="I39" s="26">
        <v>0</v>
      </c>
      <c r="J39" s="26">
        <v>0</v>
      </c>
      <c r="K39" s="26">
        <v>0</v>
      </c>
      <c r="L39" s="1">
        <f>VLOOKUP(Table3[[#This Row],[Date]],SW_LU[],3,TRUE)</f>
        <v>51</v>
      </c>
      <c r="M39" s="10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:23" x14ac:dyDescent="0.3">
      <c r="A40" s="10">
        <v>45779</v>
      </c>
      <c r="B40" s="26">
        <v>3</v>
      </c>
      <c r="C40" s="26">
        <v>0</v>
      </c>
      <c r="D40" s="26">
        <v>0.45</v>
      </c>
      <c r="E40" s="26">
        <v>1.45</v>
      </c>
      <c r="F40" s="26">
        <v>0</v>
      </c>
      <c r="G40" s="26">
        <v>0.8</v>
      </c>
      <c r="H40" s="26">
        <v>0.3</v>
      </c>
      <c r="I40" s="26">
        <v>0</v>
      </c>
      <c r="J40" s="26">
        <v>0</v>
      </c>
      <c r="K40" s="26">
        <v>0</v>
      </c>
      <c r="L40" s="1">
        <f>VLOOKUP(Table3[[#This Row],[Date]],SW_LU[],3,TRUE)</f>
        <v>51</v>
      </c>
      <c r="M40" s="10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:23" x14ac:dyDescent="0.3">
      <c r="A41" s="10">
        <v>45780</v>
      </c>
      <c r="B41" s="26">
        <v>2</v>
      </c>
      <c r="C41" s="26">
        <v>0</v>
      </c>
      <c r="D41" s="26">
        <v>0.3</v>
      </c>
      <c r="E41" s="26">
        <v>0.97</v>
      </c>
      <c r="F41" s="26">
        <v>0</v>
      </c>
      <c r="G41" s="26">
        <v>0.53</v>
      </c>
      <c r="H41" s="26">
        <v>0.2</v>
      </c>
      <c r="I41" s="26">
        <v>0</v>
      </c>
      <c r="J41" s="26">
        <v>0</v>
      </c>
      <c r="K41" s="26">
        <v>0</v>
      </c>
      <c r="L41" s="1">
        <f>VLOOKUP(Table3[[#This Row],[Date]],SW_LU[],3,TRUE)</f>
        <v>51</v>
      </c>
      <c r="M41" s="10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:23" x14ac:dyDescent="0.3">
      <c r="A42" s="10">
        <v>45781</v>
      </c>
      <c r="B42" s="26">
        <v>1</v>
      </c>
      <c r="C42" s="26">
        <v>0</v>
      </c>
      <c r="D42" s="26">
        <v>0.15</v>
      </c>
      <c r="E42" s="26">
        <v>0.48</v>
      </c>
      <c r="F42" s="26">
        <v>0</v>
      </c>
      <c r="G42" s="26">
        <v>0.27</v>
      </c>
      <c r="H42" s="26">
        <v>0.1</v>
      </c>
      <c r="I42" s="26">
        <v>0</v>
      </c>
      <c r="J42" s="26">
        <v>0</v>
      </c>
      <c r="K42" s="26">
        <v>0</v>
      </c>
      <c r="L42" s="1">
        <f>VLOOKUP(Table3[[#This Row],[Date]],SW_LU[],3,TRUE)</f>
        <v>51</v>
      </c>
      <c r="M42" s="10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:23" x14ac:dyDescent="0.3">
      <c r="A43" s="10">
        <v>45782</v>
      </c>
      <c r="B43" s="26">
        <v>1</v>
      </c>
      <c r="C43" s="26">
        <v>0</v>
      </c>
      <c r="D43" s="26">
        <v>0.15</v>
      </c>
      <c r="E43" s="26">
        <v>0.48</v>
      </c>
      <c r="F43" s="26">
        <v>0</v>
      </c>
      <c r="G43" s="26">
        <v>0.27</v>
      </c>
      <c r="H43" s="26">
        <v>0.1</v>
      </c>
      <c r="I43" s="26">
        <v>0</v>
      </c>
      <c r="J43" s="26">
        <v>0</v>
      </c>
      <c r="K43" s="26">
        <v>0</v>
      </c>
      <c r="L43" s="1">
        <f>VLOOKUP(Table3[[#This Row],[Date]],SW_LU[],3,TRUE)</f>
        <v>51</v>
      </c>
      <c r="M43" s="10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:23" x14ac:dyDescent="0.3">
      <c r="A44" s="10">
        <v>45783</v>
      </c>
      <c r="B44" s="26">
        <v>1</v>
      </c>
      <c r="C44" s="26">
        <v>0</v>
      </c>
      <c r="D44" s="26">
        <v>0.15</v>
      </c>
      <c r="E44" s="26">
        <v>0.48</v>
      </c>
      <c r="F44" s="26">
        <v>0</v>
      </c>
      <c r="G44" s="26">
        <v>0.27</v>
      </c>
      <c r="H44" s="26">
        <v>0.1</v>
      </c>
      <c r="I44" s="26">
        <v>0</v>
      </c>
      <c r="J44" s="26">
        <v>0</v>
      </c>
      <c r="K44" s="26">
        <v>0</v>
      </c>
      <c r="L44" s="1">
        <f>VLOOKUP(Table3[[#This Row],[Date]],SW_LU[],3,TRUE)</f>
        <v>51</v>
      </c>
      <c r="M44" s="10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:23" x14ac:dyDescent="0.3">
      <c r="A45" s="10">
        <v>45784</v>
      </c>
      <c r="B45" s="26">
        <v>1</v>
      </c>
      <c r="C45" s="26">
        <v>0</v>
      </c>
      <c r="D45" s="26">
        <v>0.15</v>
      </c>
      <c r="E45" s="26">
        <v>0.48</v>
      </c>
      <c r="F45" s="26">
        <v>0</v>
      </c>
      <c r="G45" s="26">
        <v>0.27</v>
      </c>
      <c r="H45" s="26">
        <v>0.1</v>
      </c>
      <c r="I45" s="26">
        <v>0</v>
      </c>
      <c r="J45" s="26">
        <v>0</v>
      </c>
      <c r="K45" s="26">
        <v>0</v>
      </c>
      <c r="L45" s="1">
        <f>VLOOKUP(Table3[[#This Row],[Date]],SW_LU[],3,TRUE)</f>
        <v>51</v>
      </c>
      <c r="M45" s="10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:23" x14ac:dyDescent="0.3">
      <c r="A46" s="10">
        <v>45785</v>
      </c>
      <c r="B46" s="26">
        <v>2</v>
      </c>
      <c r="C46" s="26">
        <v>0</v>
      </c>
      <c r="D46" s="26">
        <v>0.3</v>
      </c>
      <c r="E46" s="26">
        <v>0.97</v>
      </c>
      <c r="F46" s="26">
        <v>0</v>
      </c>
      <c r="G46" s="26">
        <v>0.53</v>
      </c>
      <c r="H46" s="26">
        <v>0.2</v>
      </c>
      <c r="I46" s="26">
        <v>0</v>
      </c>
      <c r="J46" s="26">
        <v>0</v>
      </c>
      <c r="K46" s="26">
        <v>0</v>
      </c>
      <c r="L46" s="1">
        <f>VLOOKUP(Table3[[#This Row],[Date]],SW_LU[],3,TRUE)</f>
        <v>52</v>
      </c>
      <c r="M46" s="10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:23" x14ac:dyDescent="0.3">
      <c r="A47" s="10">
        <v>45786</v>
      </c>
      <c r="B47" s="26">
        <v>0</v>
      </c>
      <c r="C47" s="26">
        <v>0</v>
      </c>
      <c r="D47" s="26">
        <v>0</v>
      </c>
      <c r="E47" s="26">
        <v>0</v>
      </c>
      <c r="F47" s="26">
        <v>0</v>
      </c>
      <c r="G47" s="26">
        <v>0</v>
      </c>
      <c r="H47" s="26">
        <v>0</v>
      </c>
      <c r="I47" s="26">
        <v>0</v>
      </c>
      <c r="J47" s="26">
        <v>0</v>
      </c>
      <c r="K47" s="26">
        <v>0</v>
      </c>
      <c r="L47" s="1">
        <f>VLOOKUP(Table3[[#This Row],[Date]],SW_LU[],3,TRUE)</f>
        <v>52</v>
      </c>
      <c r="M47" s="10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:23" x14ac:dyDescent="0.3">
      <c r="A48" s="10">
        <v>45787</v>
      </c>
      <c r="B48" s="26">
        <v>4</v>
      </c>
      <c r="C48" s="26">
        <v>1</v>
      </c>
      <c r="D48" s="26">
        <v>0.75</v>
      </c>
      <c r="E48" s="26">
        <v>2.42</v>
      </c>
      <c r="F48" s="26">
        <v>0</v>
      </c>
      <c r="G48" s="26">
        <v>1.33</v>
      </c>
      <c r="H48" s="26">
        <v>0.5</v>
      </c>
      <c r="I48" s="26">
        <v>0</v>
      </c>
      <c r="J48" s="26">
        <v>0</v>
      </c>
      <c r="K48" s="26">
        <v>0</v>
      </c>
      <c r="L48" s="1">
        <f>VLOOKUP(Table3[[#This Row],[Date]],SW_LU[],3,TRUE)</f>
        <v>52</v>
      </c>
      <c r="M48" s="10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:23" x14ac:dyDescent="0.3">
      <c r="A49" s="10">
        <v>45788</v>
      </c>
      <c r="B49" s="26">
        <v>1</v>
      </c>
      <c r="C49" s="26">
        <v>0</v>
      </c>
      <c r="D49" s="26">
        <v>0.15</v>
      </c>
      <c r="E49" s="26">
        <v>0.48</v>
      </c>
      <c r="F49" s="26">
        <v>0</v>
      </c>
      <c r="G49" s="26">
        <v>0.27</v>
      </c>
      <c r="H49" s="26">
        <v>0.1</v>
      </c>
      <c r="I49" s="26">
        <v>0</v>
      </c>
      <c r="J49" s="26">
        <v>0</v>
      </c>
      <c r="K49" s="26">
        <v>0</v>
      </c>
      <c r="L49" s="1">
        <f>VLOOKUP(Table3[[#This Row],[Date]],SW_LU[],3,TRUE)</f>
        <v>52</v>
      </c>
      <c r="M49" s="10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:23" x14ac:dyDescent="0.3">
      <c r="A50" s="10">
        <v>45789</v>
      </c>
      <c r="B50" s="26">
        <v>4</v>
      </c>
      <c r="C50" s="26">
        <v>1</v>
      </c>
      <c r="D50" s="26">
        <v>0.75</v>
      </c>
      <c r="E50" s="26">
        <v>2.42</v>
      </c>
      <c r="F50" s="26">
        <v>0</v>
      </c>
      <c r="G50" s="26">
        <v>1.33</v>
      </c>
      <c r="H50" s="26">
        <v>0.5</v>
      </c>
      <c r="I50" s="26">
        <v>0</v>
      </c>
      <c r="J50" s="26">
        <v>0</v>
      </c>
      <c r="K50" s="26">
        <v>0</v>
      </c>
      <c r="L50" s="1">
        <f>VLOOKUP(Table3[[#This Row],[Date]],SW_LU[],3,TRUE)</f>
        <v>52</v>
      </c>
      <c r="M50" s="10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:23" x14ac:dyDescent="0.3">
      <c r="A51" s="10">
        <v>45790</v>
      </c>
      <c r="B51" s="26">
        <v>1</v>
      </c>
      <c r="C51" s="26">
        <v>0</v>
      </c>
      <c r="D51" s="26">
        <v>0.15</v>
      </c>
      <c r="E51" s="26">
        <v>0.48</v>
      </c>
      <c r="F51" s="26">
        <v>0</v>
      </c>
      <c r="G51" s="26">
        <v>0.27</v>
      </c>
      <c r="H51" s="26">
        <v>0.1</v>
      </c>
      <c r="I51" s="26">
        <v>0</v>
      </c>
      <c r="J51" s="26">
        <v>0</v>
      </c>
      <c r="K51" s="26">
        <v>0</v>
      </c>
      <c r="L51" s="1">
        <f>VLOOKUP(Table3[[#This Row],[Date]],SW_LU[],3,TRUE)</f>
        <v>52</v>
      </c>
      <c r="M51" s="10"/>
      <c r="N51" s="1"/>
      <c r="O51" s="1"/>
      <c r="P51" s="1"/>
      <c r="Q51" s="1"/>
      <c r="R51" s="1"/>
      <c r="S51" s="1"/>
      <c r="T51" s="1"/>
      <c r="U51" s="1"/>
      <c r="V51" s="1"/>
      <c r="W51" s="1"/>
    </row>
    <row r="52" spans="1:23" x14ac:dyDescent="0.3">
      <c r="A52" s="10">
        <v>45791</v>
      </c>
      <c r="B52" s="26">
        <v>5</v>
      </c>
      <c r="C52" s="26">
        <v>1</v>
      </c>
      <c r="D52" s="26">
        <v>0.9</v>
      </c>
      <c r="E52" s="26">
        <v>2.9</v>
      </c>
      <c r="F52" s="26">
        <v>0</v>
      </c>
      <c r="G52" s="26">
        <v>1.6</v>
      </c>
      <c r="H52" s="26">
        <v>0.6</v>
      </c>
      <c r="I52" s="26">
        <v>0</v>
      </c>
      <c r="J52" s="26">
        <v>0</v>
      </c>
      <c r="K52" s="26">
        <v>0</v>
      </c>
      <c r="L52" s="1">
        <f>VLOOKUP(Table3[[#This Row],[Date]],SW_LU[],3,TRUE)</f>
        <v>52</v>
      </c>
      <c r="M52" s="10"/>
      <c r="N52" s="1"/>
      <c r="O52" s="1"/>
      <c r="P52" s="1"/>
      <c r="Q52" s="1"/>
      <c r="R52" s="1"/>
      <c r="S52" s="1"/>
      <c r="T52" s="1"/>
      <c r="U52" s="1"/>
      <c r="V52" s="1"/>
      <c r="W52" s="1"/>
    </row>
    <row r="53" spans="1:23" x14ac:dyDescent="0.3">
      <c r="A53" s="10">
        <v>45792</v>
      </c>
      <c r="B53" s="26">
        <v>2</v>
      </c>
      <c r="C53" s="26">
        <v>0</v>
      </c>
      <c r="D53" s="26">
        <v>0.3</v>
      </c>
      <c r="E53" s="26">
        <v>0.97</v>
      </c>
      <c r="F53" s="26">
        <v>0</v>
      </c>
      <c r="G53" s="26">
        <v>0.53</v>
      </c>
      <c r="H53" s="26">
        <v>0.2</v>
      </c>
      <c r="I53" s="26">
        <v>0</v>
      </c>
      <c r="J53" s="26">
        <v>0</v>
      </c>
      <c r="K53" s="26">
        <v>0</v>
      </c>
      <c r="L53" s="1">
        <f>VLOOKUP(Table3[[#This Row],[Date]],SW_LU[],3,TRUE)</f>
        <v>53</v>
      </c>
      <c r="M53" s="10"/>
      <c r="N53" s="1"/>
      <c r="O53" s="1"/>
      <c r="P53" s="1"/>
      <c r="Q53" s="1"/>
      <c r="R53" s="1"/>
      <c r="S53" s="1"/>
      <c r="T53" s="1"/>
      <c r="U53" s="1"/>
      <c r="V53" s="1"/>
      <c r="W53" s="1"/>
    </row>
    <row r="54" spans="1:23" x14ac:dyDescent="0.3">
      <c r="A54" s="10">
        <v>45793</v>
      </c>
      <c r="B54" s="26">
        <v>3</v>
      </c>
      <c r="C54" s="26">
        <v>1</v>
      </c>
      <c r="D54" s="26">
        <v>0.6</v>
      </c>
      <c r="E54" s="26">
        <v>1.93</v>
      </c>
      <c r="F54" s="26">
        <v>0</v>
      </c>
      <c r="G54" s="26">
        <v>1.07</v>
      </c>
      <c r="H54" s="26">
        <v>0.4</v>
      </c>
      <c r="I54" s="26">
        <v>0</v>
      </c>
      <c r="J54" s="26">
        <v>0</v>
      </c>
      <c r="K54" s="26">
        <v>0</v>
      </c>
      <c r="L54" s="1">
        <f>VLOOKUP(Table3[[#This Row],[Date]],SW_LU[],3,TRUE)</f>
        <v>53</v>
      </c>
      <c r="M54" s="10"/>
      <c r="N54" s="1"/>
      <c r="O54" s="1"/>
      <c r="P54" s="1"/>
      <c r="Q54" s="1"/>
      <c r="R54" s="1"/>
      <c r="S54" s="1"/>
      <c r="T54" s="1"/>
      <c r="U54" s="1"/>
      <c r="V54" s="1"/>
      <c r="W54" s="1"/>
    </row>
    <row r="55" spans="1:23" x14ac:dyDescent="0.3">
      <c r="A55" s="10">
        <v>45794</v>
      </c>
      <c r="B55" s="26">
        <v>3</v>
      </c>
      <c r="C55" s="26">
        <v>0</v>
      </c>
      <c r="D55" s="26">
        <v>0.45</v>
      </c>
      <c r="E55" s="26">
        <v>1.45</v>
      </c>
      <c r="F55" s="26">
        <v>0</v>
      </c>
      <c r="G55" s="26">
        <v>0.8</v>
      </c>
      <c r="H55" s="26">
        <v>0.3</v>
      </c>
      <c r="I55" s="26">
        <v>0</v>
      </c>
      <c r="J55" s="26">
        <v>0</v>
      </c>
      <c r="K55" s="26">
        <v>0</v>
      </c>
      <c r="L55" s="1">
        <f>VLOOKUP(Table3[[#This Row],[Date]],SW_LU[],3,TRUE)</f>
        <v>53</v>
      </c>
      <c r="M55" s="10"/>
      <c r="N55" s="1"/>
      <c r="O55" s="1"/>
      <c r="P55" s="1"/>
      <c r="Q55" s="1"/>
      <c r="R55" s="1"/>
      <c r="S55" s="1"/>
      <c r="T55" s="1"/>
      <c r="U55" s="1"/>
      <c r="V55" s="1"/>
      <c r="W55" s="1"/>
    </row>
    <row r="56" spans="1:23" x14ac:dyDescent="0.3">
      <c r="A56" s="10">
        <v>45795</v>
      </c>
      <c r="B56" s="26">
        <v>3</v>
      </c>
      <c r="C56" s="26">
        <v>1</v>
      </c>
      <c r="D56" s="26">
        <v>0.6</v>
      </c>
      <c r="E56" s="26">
        <v>1.93</v>
      </c>
      <c r="F56" s="26">
        <v>0</v>
      </c>
      <c r="G56" s="26">
        <v>1.07</v>
      </c>
      <c r="H56" s="26">
        <v>0.4</v>
      </c>
      <c r="I56" s="26">
        <v>0</v>
      </c>
      <c r="J56" s="26">
        <v>0</v>
      </c>
      <c r="K56" s="26">
        <v>0</v>
      </c>
      <c r="L56" s="1">
        <f>VLOOKUP(Table3[[#This Row],[Date]],SW_LU[],3,TRUE)</f>
        <v>53</v>
      </c>
      <c r="M56" s="10"/>
      <c r="N56" s="1"/>
      <c r="O56" s="1"/>
      <c r="P56" s="1"/>
      <c r="Q56" s="1"/>
      <c r="R56" s="1"/>
      <c r="S56" s="1"/>
      <c r="T56" s="1"/>
      <c r="U56" s="1"/>
      <c r="V56" s="1"/>
      <c r="W56" s="1"/>
    </row>
    <row r="57" spans="1:23" x14ac:dyDescent="0.3">
      <c r="A57" s="10">
        <v>45796</v>
      </c>
      <c r="B57" s="26">
        <v>13</v>
      </c>
      <c r="C57" s="26">
        <v>2</v>
      </c>
      <c r="D57" s="26">
        <v>2.25</v>
      </c>
      <c r="E57" s="26">
        <v>7.25</v>
      </c>
      <c r="F57" s="26">
        <v>0</v>
      </c>
      <c r="G57" s="26">
        <v>4</v>
      </c>
      <c r="H57" s="26">
        <v>1.5</v>
      </c>
      <c r="I57" s="26">
        <v>0</v>
      </c>
      <c r="J57" s="26">
        <v>0</v>
      </c>
      <c r="K57" s="26">
        <v>0</v>
      </c>
      <c r="L57" s="1">
        <f>VLOOKUP(Table3[[#This Row],[Date]],SW_LU[],3,TRUE)</f>
        <v>53</v>
      </c>
      <c r="M57" s="10"/>
      <c r="N57" s="1"/>
      <c r="O57" s="1"/>
      <c r="P57" s="1"/>
      <c r="Q57" s="1"/>
      <c r="R57" s="1"/>
      <c r="S57" s="1"/>
      <c r="T57" s="1"/>
      <c r="U57" s="1"/>
      <c r="V57" s="1"/>
      <c r="W57" s="1"/>
    </row>
    <row r="58" spans="1:23" x14ac:dyDescent="0.3">
      <c r="A58" s="10">
        <v>45797</v>
      </c>
      <c r="B58" s="26">
        <v>8</v>
      </c>
      <c r="C58" s="26">
        <v>1</v>
      </c>
      <c r="D58" s="26">
        <v>1.35</v>
      </c>
      <c r="E58" s="26">
        <v>4.3499999999999996</v>
      </c>
      <c r="F58" s="26">
        <v>0</v>
      </c>
      <c r="G58" s="26">
        <v>2.4</v>
      </c>
      <c r="H58" s="26">
        <v>0.9</v>
      </c>
      <c r="I58" s="26">
        <v>0</v>
      </c>
      <c r="J58" s="26">
        <v>0</v>
      </c>
      <c r="K58" s="26">
        <v>0</v>
      </c>
      <c r="L58" s="1">
        <f>VLOOKUP(Table3[[#This Row],[Date]],SW_LU[],3,TRUE)</f>
        <v>53</v>
      </c>
      <c r="M58" s="10"/>
      <c r="N58" s="1"/>
      <c r="O58" s="1"/>
      <c r="P58" s="1"/>
      <c r="Q58" s="1"/>
      <c r="R58" s="1"/>
      <c r="S58" s="1"/>
      <c r="T58" s="1"/>
      <c r="U58" s="1"/>
      <c r="V58" s="1"/>
      <c r="W58" s="1"/>
    </row>
    <row r="59" spans="1:23" x14ac:dyDescent="0.3">
      <c r="A59" s="10">
        <v>45798</v>
      </c>
      <c r="B59" s="26">
        <v>10</v>
      </c>
      <c r="C59" s="26">
        <v>2</v>
      </c>
      <c r="D59" s="26">
        <v>1.8</v>
      </c>
      <c r="E59" s="26">
        <v>5.8</v>
      </c>
      <c r="F59" s="26">
        <v>0</v>
      </c>
      <c r="G59" s="26">
        <v>3.2</v>
      </c>
      <c r="H59" s="26">
        <v>1.2</v>
      </c>
      <c r="I59" s="26">
        <v>0</v>
      </c>
      <c r="J59" s="26">
        <v>0</v>
      </c>
      <c r="K59" s="26">
        <v>0</v>
      </c>
      <c r="L59" s="1">
        <f>VLOOKUP(Table3[[#This Row],[Date]],SW_LU[],3,TRUE)</f>
        <v>53</v>
      </c>
      <c r="M59" s="10"/>
      <c r="N59" s="1"/>
      <c r="O59" s="1"/>
      <c r="P59" s="1"/>
      <c r="Q59" s="1"/>
      <c r="R59" s="1"/>
      <c r="S59" s="1"/>
      <c r="T59" s="1"/>
      <c r="U59" s="1"/>
      <c r="V59" s="1"/>
      <c r="W59" s="1"/>
    </row>
    <row r="60" spans="1:23" x14ac:dyDescent="0.3">
      <c r="A60" s="10">
        <v>45799</v>
      </c>
      <c r="B60" s="26">
        <v>3</v>
      </c>
      <c r="C60" s="26">
        <v>1</v>
      </c>
      <c r="D60" s="26">
        <v>0.6</v>
      </c>
      <c r="E60" s="26">
        <v>1.93</v>
      </c>
      <c r="F60" s="26">
        <v>0</v>
      </c>
      <c r="G60" s="26">
        <v>1.07</v>
      </c>
      <c r="H60" s="26">
        <v>0.4</v>
      </c>
      <c r="I60" s="26">
        <v>0</v>
      </c>
      <c r="J60" s="26">
        <v>0</v>
      </c>
      <c r="K60" s="26">
        <v>0</v>
      </c>
      <c r="L60" s="1">
        <f>VLOOKUP(Table3[[#This Row],[Date]],SW_LU[],3,TRUE)</f>
        <v>54</v>
      </c>
      <c r="M60" s="10"/>
      <c r="N60" s="1"/>
      <c r="O60" s="1"/>
      <c r="P60" s="1"/>
      <c r="Q60" s="1"/>
      <c r="R60" s="1"/>
      <c r="S60" s="1"/>
      <c r="T60" s="1"/>
      <c r="U60" s="1"/>
      <c r="V60" s="1"/>
      <c r="W60" s="1"/>
    </row>
    <row r="61" spans="1:23" x14ac:dyDescent="0.3">
      <c r="A61" s="10">
        <v>45800</v>
      </c>
      <c r="B61" s="26">
        <v>25</v>
      </c>
      <c r="C61" s="26">
        <v>4</v>
      </c>
      <c r="D61" s="26">
        <v>4.3499999999999996</v>
      </c>
      <c r="E61" s="26">
        <v>14.02</v>
      </c>
      <c r="F61" s="26">
        <v>0</v>
      </c>
      <c r="G61" s="26">
        <v>7.73</v>
      </c>
      <c r="H61" s="26">
        <v>2.9</v>
      </c>
      <c r="I61" s="26">
        <v>0</v>
      </c>
      <c r="J61" s="26">
        <v>0</v>
      </c>
      <c r="K61" s="26">
        <v>0</v>
      </c>
      <c r="L61" s="1">
        <f>VLOOKUP(Table3[[#This Row],[Date]],SW_LU[],3,TRUE)</f>
        <v>54</v>
      </c>
      <c r="M61" s="10"/>
      <c r="N61" s="1"/>
      <c r="O61" s="1"/>
      <c r="P61" s="1"/>
      <c r="Q61" s="1"/>
      <c r="R61" s="1"/>
      <c r="S61" s="1"/>
      <c r="T61" s="1"/>
      <c r="U61" s="1"/>
      <c r="V61" s="1"/>
      <c r="W61" s="1"/>
    </row>
    <row r="62" spans="1:23" x14ac:dyDescent="0.3">
      <c r="A62" s="10">
        <v>45801</v>
      </c>
      <c r="B62" s="26">
        <v>20</v>
      </c>
      <c r="C62" s="26">
        <v>3</v>
      </c>
      <c r="D62" s="26">
        <v>3.45</v>
      </c>
      <c r="E62" s="26">
        <v>11.12</v>
      </c>
      <c r="F62" s="26">
        <v>0</v>
      </c>
      <c r="G62" s="26">
        <v>6.13</v>
      </c>
      <c r="H62" s="26">
        <v>2.2999999999999998</v>
      </c>
      <c r="I62" s="26">
        <v>0</v>
      </c>
      <c r="J62" s="26">
        <v>0</v>
      </c>
      <c r="K62" s="26">
        <v>0</v>
      </c>
      <c r="L62" s="1">
        <f>VLOOKUP(Table3[[#This Row],[Date]],SW_LU[],3,TRUE)</f>
        <v>54</v>
      </c>
      <c r="M62" s="10"/>
      <c r="N62" s="1"/>
      <c r="O62" s="1"/>
      <c r="P62" s="1"/>
      <c r="Q62" s="1"/>
      <c r="R62" s="1"/>
      <c r="S62" s="1"/>
      <c r="T62" s="1"/>
      <c r="U62" s="1"/>
      <c r="V62" s="1"/>
      <c r="W62" s="1"/>
    </row>
    <row r="63" spans="1:23" x14ac:dyDescent="0.3">
      <c r="A63" s="10">
        <v>45802</v>
      </c>
      <c r="B63" s="26">
        <v>41</v>
      </c>
      <c r="C63" s="26">
        <v>7</v>
      </c>
      <c r="D63" s="26">
        <v>7.2</v>
      </c>
      <c r="E63" s="26">
        <v>23.2</v>
      </c>
      <c r="F63" s="26">
        <v>0</v>
      </c>
      <c r="G63" s="26">
        <v>12.8</v>
      </c>
      <c r="H63" s="26">
        <v>4.8</v>
      </c>
      <c r="I63" s="26">
        <v>0</v>
      </c>
      <c r="J63" s="26">
        <v>0</v>
      </c>
      <c r="K63" s="26">
        <v>0</v>
      </c>
      <c r="L63" s="1">
        <f>VLOOKUP(Table3[[#This Row],[Date]],SW_LU[],3,TRUE)</f>
        <v>54</v>
      </c>
      <c r="M63" s="10"/>
      <c r="N63" s="1"/>
      <c r="O63" s="1"/>
      <c r="P63" s="1"/>
      <c r="Q63" s="1"/>
      <c r="R63" s="1"/>
      <c r="S63" s="1"/>
      <c r="T63" s="1"/>
      <c r="U63" s="1"/>
      <c r="V63" s="1"/>
      <c r="W63" s="1"/>
    </row>
    <row r="64" spans="1:23" x14ac:dyDescent="0.3">
      <c r="A64" s="10">
        <v>45803</v>
      </c>
      <c r="B64" s="26">
        <v>36</v>
      </c>
      <c r="C64" s="26">
        <v>6</v>
      </c>
      <c r="D64" s="26">
        <v>6.3</v>
      </c>
      <c r="E64" s="26">
        <v>20.3</v>
      </c>
      <c r="F64" s="26">
        <v>0</v>
      </c>
      <c r="G64" s="26">
        <v>11.2</v>
      </c>
      <c r="H64" s="26">
        <v>4.2</v>
      </c>
      <c r="I64" s="26">
        <v>0</v>
      </c>
      <c r="J64" s="26">
        <v>0</v>
      </c>
      <c r="K64" s="26">
        <v>0</v>
      </c>
      <c r="L64" s="1">
        <f>VLOOKUP(Table3[[#This Row],[Date]],SW_LU[],3,TRUE)</f>
        <v>54</v>
      </c>
      <c r="M64" s="10"/>
      <c r="N64" s="1"/>
      <c r="O64" s="1"/>
      <c r="P64" s="1"/>
      <c r="Q64" s="1"/>
      <c r="R64" s="1"/>
      <c r="S64" s="1"/>
      <c r="T64" s="1"/>
      <c r="U64" s="1"/>
      <c r="V64" s="1"/>
      <c r="W64" s="1"/>
    </row>
    <row r="65" spans="1:23" x14ac:dyDescent="0.3">
      <c r="A65" s="10">
        <v>45804</v>
      </c>
      <c r="B65" s="26">
        <v>20</v>
      </c>
      <c r="C65" s="26">
        <v>4</v>
      </c>
      <c r="D65" s="26">
        <v>3.6</v>
      </c>
      <c r="E65" s="26">
        <v>11.6</v>
      </c>
      <c r="F65" s="26">
        <v>0</v>
      </c>
      <c r="G65" s="26">
        <v>6.4</v>
      </c>
      <c r="H65" s="26">
        <v>2.4</v>
      </c>
      <c r="I65" s="26">
        <v>0</v>
      </c>
      <c r="J65" s="26">
        <v>0</v>
      </c>
      <c r="K65" s="26">
        <v>0</v>
      </c>
      <c r="L65" s="1">
        <f>VLOOKUP(Table3[[#This Row],[Date]],SW_LU[],3,TRUE)</f>
        <v>54</v>
      </c>
      <c r="M65" s="10"/>
      <c r="N65" s="1"/>
      <c r="O65" s="1"/>
      <c r="P65" s="1"/>
      <c r="Q65" s="1"/>
      <c r="R65" s="1"/>
      <c r="S65" s="1"/>
      <c r="T65" s="1"/>
      <c r="U65" s="1"/>
      <c r="V65" s="1"/>
      <c r="W65" s="1"/>
    </row>
    <row r="66" spans="1:23" x14ac:dyDescent="0.3">
      <c r="A66" s="10">
        <v>45805</v>
      </c>
      <c r="B66" s="26">
        <v>18</v>
      </c>
      <c r="C66" s="26">
        <v>3</v>
      </c>
      <c r="D66" s="26">
        <v>3.15</v>
      </c>
      <c r="E66" s="26">
        <v>10.15</v>
      </c>
      <c r="F66" s="26">
        <v>0</v>
      </c>
      <c r="G66" s="26">
        <v>5.6</v>
      </c>
      <c r="H66" s="26">
        <v>2.1</v>
      </c>
      <c r="I66" s="26">
        <v>0</v>
      </c>
      <c r="J66" s="26">
        <v>0</v>
      </c>
      <c r="K66" s="26">
        <v>0</v>
      </c>
      <c r="L66" s="1">
        <f>VLOOKUP(Table3[[#This Row],[Date]],SW_LU[],3,TRUE)</f>
        <v>54</v>
      </c>
      <c r="M66" s="10"/>
      <c r="N66" s="1"/>
      <c r="O66" s="1"/>
      <c r="P66" s="1"/>
      <c r="Q66" s="1"/>
      <c r="R66" s="1"/>
      <c r="S66" s="1"/>
      <c r="T66" s="1"/>
      <c r="U66" s="1"/>
      <c r="V66" s="1"/>
      <c r="W66" s="1"/>
    </row>
    <row r="67" spans="1:23" x14ac:dyDescent="0.3">
      <c r="A67" s="10">
        <v>45806</v>
      </c>
      <c r="B67" s="26">
        <v>48</v>
      </c>
      <c r="C67" s="26">
        <v>8</v>
      </c>
      <c r="D67" s="26">
        <v>8.4</v>
      </c>
      <c r="E67" s="26">
        <v>27.06</v>
      </c>
      <c r="F67" s="26">
        <v>0</v>
      </c>
      <c r="G67" s="26">
        <v>14.94</v>
      </c>
      <c r="H67" s="26">
        <v>5.6</v>
      </c>
      <c r="I67" s="26">
        <v>0</v>
      </c>
      <c r="J67" s="26">
        <v>0</v>
      </c>
      <c r="K67" s="26">
        <v>0</v>
      </c>
      <c r="L67" s="1">
        <f>VLOOKUP(Table3[[#This Row],[Date]],SW_LU[],3,TRUE)</f>
        <v>61</v>
      </c>
      <c r="M67" s="10"/>
      <c r="N67" s="1"/>
      <c r="O67" s="1"/>
      <c r="P67" s="1"/>
      <c r="Q67" s="1"/>
      <c r="R67" s="1"/>
      <c r="S67" s="1"/>
      <c r="T67" s="1"/>
      <c r="U67" s="1"/>
      <c r="V67" s="1"/>
      <c r="W67" s="1"/>
    </row>
    <row r="68" spans="1:23" x14ac:dyDescent="0.3">
      <c r="A68" s="10">
        <v>45807</v>
      </c>
      <c r="B68" s="26">
        <v>52</v>
      </c>
      <c r="C68" s="26">
        <v>9</v>
      </c>
      <c r="D68" s="26">
        <v>9.15</v>
      </c>
      <c r="E68" s="26">
        <v>29.48</v>
      </c>
      <c r="F68" s="26">
        <v>0</v>
      </c>
      <c r="G68" s="26">
        <v>16.27</v>
      </c>
      <c r="H68" s="26">
        <v>6.1</v>
      </c>
      <c r="I68" s="26">
        <v>0</v>
      </c>
      <c r="J68" s="26">
        <v>0</v>
      </c>
      <c r="K68" s="26">
        <v>0</v>
      </c>
      <c r="L68" s="1">
        <f>VLOOKUP(Table3[[#This Row],[Date]],SW_LU[],3,TRUE)</f>
        <v>61</v>
      </c>
      <c r="M68" s="10"/>
      <c r="N68" s="1"/>
      <c r="O68" s="1"/>
      <c r="P68" s="1"/>
      <c r="Q68" s="1"/>
      <c r="R68" s="1"/>
      <c r="S68" s="1"/>
      <c r="T68" s="1"/>
      <c r="U68" s="1"/>
      <c r="V68" s="1"/>
      <c r="W68" s="1"/>
    </row>
    <row r="69" spans="1:23" x14ac:dyDescent="0.3">
      <c r="A69" s="10">
        <v>45808</v>
      </c>
      <c r="B69" s="26">
        <v>93</v>
      </c>
      <c r="C69" s="26">
        <v>16</v>
      </c>
      <c r="D69" s="26">
        <v>16.350000000000001</v>
      </c>
      <c r="E69" s="26">
        <v>52.68</v>
      </c>
      <c r="F69" s="26">
        <v>0</v>
      </c>
      <c r="G69" s="26">
        <v>29.07</v>
      </c>
      <c r="H69" s="26">
        <v>10.9</v>
      </c>
      <c r="I69" s="26">
        <v>0</v>
      </c>
      <c r="J69" s="26">
        <v>0</v>
      </c>
      <c r="K69" s="26">
        <v>0</v>
      </c>
      <c r="L69" s="1">
        <f>VLOOKUP(Table3[[#This Row],[Date]],SW_LU[],3,TRUE)</f>
        <v>61</v>
      </c>
      <c r="M69" s="10"/>
      <c r="N69" s="1"/>
      <c r="O69" s="1"/>
      <c r="P69" s="1"/>
      <c r="Q69" s="1"/>
      <c r="R69" s="1"/>
      <c r="S69" s="1"/>
      <c r="T69" s="1"/>
      <c r="U69" s="1"/>
      <c r="V69" s="1"/>
      <c r="W69" s="1"/>
    </row>
    <row r="70" spans="1:23" x14ac:dyDescent="0.3">
      <c r="A70" s="10">
        <v>45809</v>
      </c>
      <c r="B70" s="26">
        <v>90</v>
      </c>
      <c r="C70" s="26">
        <v>16</v>
      </c>
      <c r="D70" s="26">
        <v>15.9</v>
      </c>
      <c r="E70" s="26">
        <v>51.23</v>
      </c>
      <c r="F70" s="26">
        <v>0</v>
      </c>
      <c r="G70" s="26">
        <v>28.27</v>
      </c>
      <c r="H70" s="26">
        <v>10.6</v>
      </c>
      <c r="I70" s="26">
        <v>0</v>
      </c>
      <c r="J70" s="26">
        <v>0</v>
      </c>
      <c r="K70" s="26">
        <v>0</v>
      </c>
      <c r="L70" s="1">
        <f>VLOOKUP(Table3[[#This Row],[Date]],SW_LU[],3,TRUE)</f>
        <v>61</v>
      </c>
      <c r="M70" s="10"/>
      <c r="N70" s="1"/>
      <c r="O70" s="1"/>
      <c r="P70" s="1"/>
      <c r="Q70" s="1"/>
      <c r="R70" s="1"/>
      <c r="S70" s="1"/>
      <c r="T70" s="1"/>
      <c r="U70" s="1"/>
      <c r="V70" s="1"/>
      <c r="W70" s="1"/>
    </row>
    <row r="71" spans="1:23" x14ac:dyDescent="0.3">
      <c r="A71" s="10">
        <v>45810</v>
      </c>
      <c r="B71" s="26">
        <v>57</v>
      </c>
      <c r="C71" s="26">
        <v>10</v>
      </c>
      <c r="D71" s="26">
        <v>10.050000000000001</v>
      </c>
      <c r="E71" s="26">
        <v>32.380000000000003</v>
      </c>
      <c r="F71" s="26">
        <v>0</v>
      </c>
      <c r="G71" s="26">
        <v>17.87</v>
      </c>
      <c r="H71" s="26">
        <v>6.7</v>
      </c>
      <c r="I71" s="26">
        <v>0</v>
      </c>
      <c r="J71" s="26">
        <v>0</v>
      </c>
      <c r="K71" s="26">
        <v>0</v>
      </c>
      <c r="L71" s="1">
        <f>VLOOKUP(Table3[[#This Row],[Date]],SW_LU[],3,TRUE)</f>
        <v>61</v>
      </c>
      <c r="M71" s="10"/>
      <c r="N71" s="1"/>
      <c r="O71" s="1"/>
      <c r="P71" s="1"/>
      <c r="Q71" s="1"/>
      <c r="R71" s="1"/>
      <c r="S71" s="1"/>
      <c r="T71" s="1"/>
      <c r="U71" s="1"/>
      <c r="V71" s="1"/>
      <c r="W71" s="1"/>
    </row>
    <row r="72" spans="1:23" x14ac:dyDescent="0.3">
      <c r="A72" s="10">
        <v>45811</v>
      </c>
      <c r="B72" s="26">
        <v>110</v>
      </c>
      <c r="C72" s="26">
        <v>19</v>
      </c>
      <c r="D72" s="26">
        <v>19.350000000000001</v>
      </c>
      <c r="E72" s="26">
        <v>62.35</v>
      </c>
      <c r="F72" s="26">
        <v>0</v>
      </c>
      <c r="G72" s="26">
        <v>34.4</v>
      </c>
      <c r="H72" s="26">
        <v>12.9</v>
      </c>
      <c r="I72" s="26">
        <v>0</v>
      </c>
      <c r="J72" s="26">
        <v>0</v>
      </c>
      <c r="K72" s="26">
        <v>0</v>
      </c>
      <c r="L72" s="1">
        <f>VLOOKUP(Table3[[#This Row],[Date]],SW_LU[],3,TRUE)</f>
        <v>61</v>
      </c>
      <c r="M72" s="10"/>
      <c r="N72" s="15"/>
      <c r="O72" s="1"/>
      <c r="P72" s="1"/>
      <c r="Q72" s="1"/>
      <c r="R72" s="1"/>
      <c r="S72" s="1"/>
      <c r="T72" s="1"/>
      <c r="U72" s="1"/>
      <c r="V72" s="1"/>
      <c r="W72" s="1"/>
    </row>
    <row r="73" spans="1:23" x14ac:dyDescent="0.3">
      <c r="A73" s="10">
        <v>45812</v>
      </c>
      <c r="B73" s="26">
        <v>118</v>
      </c>
      <c r="C73" s="26">
        <v>21</v>
      </c>
      <c r="D73" s="26">
        <v>20.85</v>
      </c>
      <c r="E73" s="26">
        <v>67.180000000000007</v>
      </c>
      <c r="F73" s="26">
        <v>0</v>
      </c>
      <c r="G73" s="26">
        <v>37.07</v>
      </c>
      <c r="H73" s="26">
        <v>13.9</v>
      </c>
      <c r="I73" s="26">
        <v>0</v>
      </c>
      <c r="J73" s="26">
        <v>0</v>
      </c>
      <c r="K73" s="26">
        <v>0</v>
      </c>
      <c r="L73" s="1">
        <f>VLOOKUP(Table3[[#This Row],[Date]],SW_LU[],3,TRUE)</f>
        <v>61</v>
      </c>
      <c r="M73" s="10"/>
      <c r="N73" s="15"/>
      <c r="O73" s="1"/>
      <c r="P73" s="1"/>
      <c r="Q73" s="1"/>
      <c r="R73" s="1"/>
      <c r="S73" s="1"/>
      <c r="T73" s="1"/>
      <c r="U73" s="1"/>
      <c r="V73" s="1"/>
      <c r="W73" s="1"/>
    </row>
    <row r="74" spans="1:23" x14ac:dyDescent="0.3">
      <c r="A74" s="10">
        <v>45813</v>
      </c>
      <c r="B74" s="26">
        <v>35</v>
      </c>
      <c r="C74" s="26">
        <v>6</v>
      </c>
      <c r="D74" s="26">
        <v>6.15</v>
      </c>
      <c r="E74" s="26">
        <v>19.82</v>
      </c>
      <c r="F74" s="26">
        <v>0</v>
      </c>
      <c r="G74" s="26">
        <v>10.93</v>
      </c>
      <c r="H74" s="26">
        <v>4.0999999999999996</v>
      </c>
      <c r="I74" s="26">
        <v>0</v>
      </c>
      <c r="J74" s="26">
        <v>0</v>
      </c>
      <c r="K74" s="26">
        <v>0</v>
      </c>
      <c r="L74" s="1">
        <f>VLOOKUP(Table3[[#This Row],[Date]],SW_LU[],3,TRUE)</f>
        <v>62</v>
      </c>
      <c r="M74" s="10"/>
      <c r="N74" s="15"/>
      <c r="O74" s="1"/>
      <c r="P74" s="1"/>
      <c r="Q74" s="1"/>
      <c r="R74" s="1"/>
      <c r="S74" s="1"/>
      <c r="T74" s="1"/>
      <c r="U74" s="1"/>
      <c r="V74" s="1"/>
      <c r="W74" s="1"/>
    </row>
    <row r="75" spans="1:23" x14ac:dyDescent="0.3">
      <c r="A75" s="10">
        <v>45814</v>
      </c>
      <c r="B75" s="26">
        <v>138</v>
      </c>
      <c r="C75" s="26">
        <v>24</v>
      </c>
      <c r="D75" s="26">
        <v>24.3</v>
      </c>
      <c r="E75" s="26">
        <v>78.290000000000006</v>
      </c>
      <c r="F75" s="26">
        <v>0</v>
      </c>
      <c r="G75" s="26">
        <v>43.21</v>
      </c>
      <c r="H75" s="26">
        <v>16.2</v>
      </c>
      <c r="I75" s="26">
        <v>0</v>
      </c>
      <c r="J75" s="26">
        <v>0</v>
      </c>
      <c r="K75" s="26">
        <v>0</v>
      </c>
      <c r="L75" s="1">
        <f>VLOOKUP(Table3[[#This Row],[Date]],SW_LU[],3,TRUE)</f>
        <v>62</v>
      </c>
      <c r="M75" s="10"/>
      <c r="N75" s="15"/>
      <c r="O75" s="1"/>
      <c r="P75" s="1"/>
      <c r="Q75" s="16"/>
      <c r="R75" s="1"/>
      <c r="S75" s="16"/>
      <c r="T75" s="1"/>
      <c r="U75" s="1"/>
      <c r="V75" s="1"/>
      <c r="W75" s="1"/>
    </row>
    <row r="76" spans="1:23" x14ac:dyDescent="0.3">
      <c r="A76" s="10">
        <v>45815</v>
      </c>
      <c r="B76" s="26">
        <v>178</v>
      </c>
      <c r="C76" s="26">
        <v>32</v>
      </c>
      <c r="D76" s="26">
        <v>31.5</v>
      </c>
      <c r="E76" s="26">
        <v>101.49</v>
      </c>
      <c r="F76" s="26">
        <v>0</v>
      </c>
      <c r="G76" s="26">
        <v>56.01</v>
      </c>
      <c r="H76" s="26">
        <v>21</v>
      </c>
      <c r="I76" s="26">
        <v>0</v>
      </c>
      <c r="J76" s="26">
        <v>0</v>
      </c>
      <c r="K76" s="26">
        <v>0</v>
      </c>
      <c r="L76" s="1">
        <f>VLOOKUP(Table3[[#This Row],[Date]],SW_LU[],3,TRUE)</f>
        <v>62</v>
      </c>
      <c r="M76" s="10"/>
      <c r="N76" s="15"/>
      <c r="O76" s="1"/>
      <c r="P76" s="1"/>
      <c r="Q76" s="1"/>
      <c r="R76" s="1"/>
      <c r="S76" s="1"/>
      <c r="T76" s="1"/>
      <c r="U76" s="1"/>
      <c r="V76" s="1"/>
      <c r="W76" s="1"/>
    </row>
    <row r="77" spans="1:23" x14ac:dyDescent="0.3">
      <c r="A77" s="10">
        <v>45816</v>
      </c>
      <c r="B77" s="26">
        <v>125</v>
      </c>
      <c r="C77" s="26">
        <v>22</v>
      </c>
      <c r="D77" s="26">
        <v>22.05</v>
      </c>
      <c r="E77" s="26">
        <v>71.05</v>
      </c>
      <c r="F77" s="26">
        <v>0</v>
      </c>
      <c r="G77" s="26">
        <v>39.200000000000003</v>
      </c>
      <c r="H77" s="26">
        <v>14.7</v>
      </c>
      <c r="I77" s="26">
        <v>0</v>
      </c>
      <c r="J77" s="26">
        <v>0</v>
      </c>
      <c r="K77" s="26">
        <v>0</v>
      </c>
      <c r="L77" s="1">
        <f>VLOOKUP(Table3[[#This Row],[Date]],SW_LU[],3,TRUE)</f>
        <v>62</v>
      </c>
      <c r="M77" s="10"/>
      <c r="N77" s="1"/>
      <c r="O77" s="1"/>
      <c r="P77" s="1"/>
      <c r="Q77" s="1"/>
      <c r="R77" s="1"/>
      <c r="S77" s="1"/>
      <c r="T77" s="1"/>
      <c r="U77" s="1"/>
      <c r="V77" s="1"/>
      <c r="W77" s="1"/>
    </row>
    <row r="78" spans="1:23" x14ac:dyDescent="0.3">
      <c r="A78" s="10">
        <v>45817</v>
      </c>
      <c r="B78" s="26">
        <v>100</v>
      </c>
      <c r="C78" s="26">
        <v>18</v>
      </c>
      <c r="D78" s="26">
        <v>17.7</v>
      </c>
      <c r="E78" s="26">
        <v>57.03</v>
      </c>
      <c r="F78" s="26">
        <v>0</v>
      </c>
      <c r="G78" s="26">
        <v>31.47</v>
      </c>
      <c r="H78" s="26">
        <v>11.8</v>
      </c>
      <c r="I78" s="26">
        <v>0</v>
      </c>
      <c r="J78" s="26">
        <v>0</v>
      </c>
      <c r="K78" s="26">
        <v>0</v>
      </c>
      <c r="L78" s="1">
        <f>VLOOKUP(Table3[[#This Row],[Date]],SW_LU[],3,TRUE)</f>
        <v>62</v>
      </c>
      <c r="M78" s="10"/>
      <c r="N78" s="15"/>
      <c r="O78" s="1"/>
      <c r="P78" s="1"/>
      <c r="Q78" s="16"/>
      <c r="R78" s="1"/>
      <c r="S78" s="16"/>
      <c r="T78" s="1"/>
      <c r="U78" s="1"/>
      <c r="V78" s="1"/>
      <c r="W78" s="1"/>
    </row>
    <row r="79" spans="1:23" x14ac:dyDescent="0.3">
      <c r="A79" s="10">
        <v>45818</v>
      </c>
      <c r="B79" s="26">
        <v>77</v>
      </c>
      <c r="C79" s="26">
        <v>14</v>
      </c>
      <c r="D79" s="26">
        <v>13.65</v>
      </c>
      <c r="E79" s="26">
        <v>43.98</v>
      </c>
      <c r="F79" s="26">
        <v>0</v>
      </c>
      <c r="G79" s="26">
        <v>24.27</v>
      </c>
      <c r="H79" s="26">
        <v>9.1</v>
      </c>
      <c r="I79" s="26">
        <v>0</v>
      </c>
      <c r="J79" s="26">
        <v>0</v>
      </c>
      <c r="K79" s="26">
        <v>0</v>
      </c>
      <c r="L79" s="1">
        <f>VLOOKUP(Table3[[#This Row],[Date]],SW_LU[],3,TRUE)</f>
        <v>62</v>
      </c>
      <c r="M79" s="10"/>
      <c r="N79" s="15"/>
      <c r="O79" s="1"/>
      <c r="P79" s="1"/>
      <c r="Q79" s="16"/>
      <c r="R79" s="1"/>
      <c r="S79" s="16"/>
      <c r="T79" s="1"/>
      <c r="U79" s="1"/>
      <c r="V79" s="1"/>
      <c r="W79" s="1"/>
    </row>
    <row r="80" spans="1:23" x14ac:dyDescent="0.3">
      <c r="A80" s="10">
        <v>45819</v>
      </c>
      <c r="B80" s="26">
        <v>61</v>
      </c>
      <c r="C80" s="26">
        <v>11</v>
      </c>
      <c r="D80" s="26">
        <v>10.8</v>
      </c>
      <c r="E80" s="26">
        <v>34.799999999999997</v>
      </c>
      <c r="F80" s="26">
        <v>0</v>
      </c>
      <c r="G80" s="26">
        <v>19.2</v>
      </c>
      <c r="H80" s="26">
        <v>7.2</v>
      </c>
      <c r="I80" s="26">
        <v>0</v>
      </c>
      <c r="J80" s="26">
        <v>0</v>
      </c>
      <c r="K80" s="26">
        <v>0</v>
      </c>
      <c r="L80" s="1">
        <f>VLOOKUP(Table3[[#This Row],[Date]],SW_LU[],3,TRUE)</f>
        <v>62</v>
      </c>
      <c r="M80" s="10"/>
      <c r="N80" s="15"/>
      <c r="O80" s="1"/>
      <c r="P80" s="1"/>
      <c r="Q80" s="16"/>
      <c r="R80" s="1"/>
      <c r="S80" s="16"/>
      <c r="T80" s="1"/>
      <c r="U80" s="1"/>
      <c r="V80" s="1"/>
      <c r="W80" s="1"/>
    </row>
    <row r="81" spans="1:23" x14ac:dyDescent="0.3">
      <c r="A81" s="10">
        <v>45820</v>
      </c>
      <c r="B81" s="26">
        <v>129</v>
      </c>
      <c r="C81" s="26">
        <v>23</v>
      </c>
      <c r="D81" s="26">
        <v>22.8</v>
      </c>
      <c r="E81" s="26">
        <v>73.459999999999994</v>
      </c>
      <c r="F81" s="26">
        <v>0</v>
      </c>
      <c r="G81" s="26">
        <v>40.54</v>
      </c>
      <c r="H81" s="26">
        <v>15.2</v>
      </c>
      <c r="I81" s="26">
        <v>0</v>
      </c>
      <c r="J81" s="26">
        <v>0</v>
      </c>
      <c r="K81" s="26">
        <v>0</v>
      </c>
      <c r="L81" s="1">
        <f>VLOOKUP(Table3[[#This Row],[Date]],SW_LU[],3,TRUE)</f>
        <v>63</v>
      </c>
      <c r="M81" s="10"/>
      <c r="N81" s="15"/>
      <c r="O81" s="1"/>
      <c r="P81" s="1"/>
      <c r="Q81" s="16"/>
      <c r="R81" s="1"/>
      <c r="S81" s="16"/>
      <c r="T81" s="1"/>
      <c r="U81" s="1"/>
      <c r="V81" s="1"/>
      <c r="W81" s="1"/>
    </row>
    <row r="82" spans="1:23" x14ac:dyDescent="0.3">
      <c r="A82" s="10">
        <v>45821</v>
      </c>
      <c r="B82" s="26">
        <v>357</v>
      </c>
      <c r="C82" s="26">
        <v>63</v>
      </c>
      <c r="D82" s="26">
        <v>63</v>
      </c>
      <c r="E82" s="26">
        <v>202.99</v>
      </c>
      <c r="F82" s="26">
        <v>0</v>
      </c>
      <c r="G82" s="26">
        <v>112.01</v>
      </c>
      <c r="H82" s="26">
        <v>42</v>
      </c>
      <c r="I82" s="26">
        <v>0</v>
      </c>
      <c r="J82" s="26">
        <v>0</v>
      </c>
      <c r="K82" s="26">
        <v>0</v>
      </c>
      <c r="L82" s="1">
        <f>VLOOKUP(Table3[[#This Row],[Date]],SW_LU[],3,TRUE)</f>
        <v>63</v>
      </c>
      <c r="M82" s="10"/>
      <c r="N82" s="15"/>
      <c r="O82" s="1"/>
      <c r="P82" s="1"/>
      <c r="Q82" s="1"/>
      <c r="R82" s="1"/>
      <c r="S82" s="1"/>
      <c r="T82" s="1"/>
      <c r="U82" s="1"/>
      <c r="V82" s="1"/>
      <c r="W82" s="1"/>
    </row>
    <row r="83" spans="1:23" x14ac:dyDescent="0.3">
      <c r="A83" s="10">
        <v>45822</v>
      </c>
      <c r="B83" s="26">
        <v>358</v>
      </c>
      <c r="C83" s="26">
        <v>63</v>
      </c>
      <c r="D83" s="26">
        <v>63.15</v>
      </c>
      <c r="E83" s="26">
        <v>203.47</v>
      </c>
      <c r="F83" s="26">
        <v>0</v>
      </c>
      <c r="G83" s="26">
        <v>112.28</v>
      </c>
      <c r="H83" s="26">
        <v>42.1</v>
      </c>
      <c r="I83" s="26">
        <v>0</v>
      </c>
      <c r="J83" s="26">
        <v>0</v>
      </c>
      <c r="K83" s="26">
        <v>0</v>
      </c>
      <c r="L83" s="1">
        <f>VLOOKUP(Table3[[#This Row],[Date]],SW_LU[],3,TRUE)</f>
        <v>63</v>
      </c>
      <c r="M83" s="10"/>
      <c r="N83" s="15"/>
      <c r="O83" s="1"/>
      <c r="P83" s="1"/>
      <c r="Q83" s="1"/>
      <c r="R83" s="1"/>
      <c r="S83" s="1"/>
      <c r="T83" s="1"/>
      <c r="U83" s="1"/>
      <c r="V83" s="1"/>
      <c r="W83" s="1"/>
    </row>
    <row r="84" spans="1:23" x14ac:dyDescent="0.3">
      <c r="A84" s="10">
        <v>45823</v>
      </c>
      <c r="B84" s="26">
        <v>495</v>
      </c>
      <c r="C84" s="26">
        <v>91</v>
      </c>
      <c r="D84" s="26">
        <v>84.62</v>
      </c>
      <c r="E84" s="26">
        <v>293.52999999999997</v>
      </c>
      <c r="F84" s="26">
        <v>6.21</v>
      </c>
      <c r="G84" s="26">
        <v>151.47999999999999</v>
      </c>
      <c r="H84" s="26">
        <v>47.06</v>
      </c>
      <c r="I84" s="26">
        <v>0</v>
      </c>
      <c r="J84" s="26">
        <v>3.11</v>
      </c>
      <c r="K84" s="26">
        <v>0</v>
      </c>
      <c r="L84" s="1">
        <f>VLOOKUP(Table3[[#This Row],[Date]],SW_LU[],3,TRUE)</f>
        <v>63</v>
      </c>
      <c r="M84" s="10"/>
      <c r="N84" s="15"/>
      <c r="O84" s="1"/>
      <c r="P84" s="1"/>
      <c r="Q84" s="16"/>
      <c r="R84" s="1"/>
      <c r="S84" s="1"/>
      <c r="T84" s="1"/>
      <c r="U84" s="1"/>
      <c r="V84" s="1"/>
      <c r="W84" s="1"/>
    </row>
    <row r="85" spans="1:23" x14ac:dyDescent="0.3">
      <c r="A85" s="10">
        <v>45824</v>
      </c>
      <c r="B85" s="26">
        <v>864</v>
      </c>
      <c r="C85" s="26">
        <v>165</v>
      </c>
      <c r="D85" s="26">
        <v>142.83000000000001</v>
      </c>
      <c r="E85" s="26">
        <v>533.33000000000004</v>
      </c>
      <c r="F85" s="26">
        <v>21.92</v>
      </c>
      <c r="G85" s="26">
        <v>257.66000000000003</v>
      </c>
      <c r="H85" s="26">
        <v>62.36</v>
      </c>
      <c r="I85" s="26">
        <v>0</v>
      </c>
      <c r="J85" s="26">
        <v>10.91</v>
      </c>
      <c r="K85" s="26">
        <v>0</v>
      </c>
      <c r="L85" s="1">
        <f>VLOOKUP(Table3[[#This Row],[Date]],SW_LU[],3,TRUE)</f>
        <v>63</v>
      </c>
      <c r="M85" s="10"/>
      <c r="N85" s="15"/>
      <c r="O85" s="1"/>
      <c r="P85" s="1"/>
      <c r="Q85" s="16"/>
      <c r="R85" s="1"/>
      <c r="S85" s="1"/>
      <c r="T85" s="1"/>
      <c r="U85" s="1"/>
      <c r="V85" s="1"/>
      <c r="W85" s="1"/>
    </row>
    <row r="86" spans="1:23" x14ac:dyDescent="0.3">
      <c r="A86" s="10">
        <v>45825</v>
      </c>
      <c r="B86" s="26">
        <v>3683</v>
      </c>
      <c r="C86" s="26">
        <v>728</v>
      </c>
      <c r="D86" s="26">
        <v>587.54999999999995</v>
      </c>
      <c r="E86" s="26">
        <v>2362.9699999999998</v>
      </c>
      <c r="F86" s="26">
        <v>140.71</v>
      </c>
      <c r="G86" s="26">
        <v>1068.3399999999999</v>
      </c>
      <c r="H86" s="26">
        <v>180.85</v>
      </c>
      <c r="I86" s="26">
        <v>0</v>
      </c>
      <c r="J86" s="26">
        <v>70.58</v>
      </c>
      <c r="K86" s="26">
        <v>0</v>
      </c>
      <c r="L86" s="1">
        <f>VLOOKUP(Table3[[#This Row],[Date]],SW_LU[],3,TRUE)</f>
        <v>63</v>
      </c>
      <c r="M86" s="10"/>
      <c r="N86" s="15"/>
      <c r="O86" s="1"/>
      <c r="P86" s="1"/>
      <c r="Q86" s="16"/>
      <c r="R86" s="1"/>
      <c r="S86" s="1"/>
      <c r="T86" s="1"/>
      <c r="U86" s="1"/>
      <c r="V86" s="1"/>
      <c r="W86" s="1"/>
    </row>
    <row r="87" spans="1:23" x14ac:dyDescent="0.3">
      <c r="A87" s="10">
        <v>45826</v>
      </c>
      <c r="B87" s="26">
        <v>1665</v>
      </c>
      <c r="C87" s="26">
        <v>342</v>
      </c>
      <c r="D87" s="26">
        <v>256.29000000000002</v>
      </c>
      <c r="E87" s="26">
        <v>1110.07</v>
      </c>
      <c r="F87" s="26">
        <v>85.5</v>
      </c>
      <c r="G87" s="26">
        <v>469.64</v>
      </c>
      <c r="H87" s="26">
        <v>42.75</v>
      </c>
      <c r="I87" s="26">
        <v>0</v>
      </c>
      <c r="J87" s="26">
        <v>42.75</v>
      </c>
      <c r="K87" s="26">
        <v>0</v>
      </c>
      <c r="L87" s="1">
        <f>VLOOKUP(Table3[[#This Row],[Date]],SW_LU[],3,TRUE)</f>
        <v>63</v>
      </c>
      <c r="M87" s="10"/>
      <c r="N87" s="15"/>
      <c r="O87" s="1"/>
      <c r="P87" s="1"/>
      <c r="Q87" s="16"/>
      <c r="R87" s="1"/>
      <c r="S87" s="1"/>
      <c r="T87" s="1"/>
      <c r="U87" s="1"/>
      <c r="V87" s="1"/>
      <c r="W87" s="1"/>
    </row>
    <row r="88" spans="1:23" x14ac:dyDescent="0.3">
      <c r="A88" s="10">
        <v>45827</v>
      </c>
      <c r="B88" s="26">
        <v>1125</v>
      </c>
      <c r="C88" s="26">
        <v>240</v>
      </c>
      <c r="D88" s="26">
        <v>211.17</v>
      </c>
      <c r="E88" s="26">
        <v>858.45</v>
      </c>
      <c r="F88" s="26">
        <v>29.07</v>
      </c>
      <c r="G88" s="26">
        <v>221.81</v>
      </c>
      <c r="H88" s="26">
        <v>30.03</v>
      </c>
      <c r="I88" s="26">
        <v>0</v>
      </c>
      <c r="J88" s="26">
        <v>14.47</v>
      </c>
      <c r="K88" s="26">
        <v>0</v>
      </c>
      <c r="L88" s="1">
        <f>VLOOKUP(Table3[[#This Row],[Date]],SW_LU[],3,TRUE)</f>
        <v>64</v>
      </c>
      <c r="M88" s="10"/>
      <c r="N88" s="15"/>
      <c r="O88" s="1"/>
      <c r="P88" s="1"/>
      <c r="Q88" s="16"/>
      <c r="R88" s="1"/>
      <c r="S88" s="1"/>
      <c r="T88" s="1"/>
      <c r="U88" s="1"/>
      <c r="V88" s="1"/>
      <c r="W88" s="1"/>
    </row>
    <row r="89" spans="1:23" x14ac:dyDescent="0.3">
      <c r="A89" s="10">
        <v>45828</v>
      </c>
      <c r="B89" s="26">
        <v>3375</v>
      </c>
      <c r="C89" s="26">
        <v>750</v>
      </c>
      <c r="D89" s="26">
        <v>750.11</v>
      </c>
      <c r="E89" s="26">
        <v>2906.18</v>
      </c>
      <c r="F89" s="26">
        <v>0</v>
      </c>
      <c r="G89" s="26">
        <v>375.05</v>
      </c>
      <c r="H89" s="26">
        <v>93.66</v>
      </c>
      <c r="I89" s="26">
        <v>0</v>
      </c>
      <c r="J89" s="26">
        <v>0</v>
      </c>
      <c r="K89" s="26">
        <v>0</v>
      </c>
      <c r="L89" s="1">
        <f>VLOOKUP(Table3[[#This Row],[Date]],SW_LU[],3,TRUE)</f>
        <v>64</v>
      </c>
      <c r="M89" s="10"/>
      <c r="N89" s="15"/>
      <c r="O89" s="1"/>
      <c r="P89" s="1"/>
      <c r="Q89" s="16"/>
      <c r="R89" s="1"/>
      <c r="S89" s="1"/>
      <c r="T89" s="1"/>
      <c r="U89" s="1"/>
      <c r="V89" s="1"/>
      <c r="W89" s="1"/>
    </row>
    <row r="90" spans="1:23" x14ac:dyDescent="0.3">
      <c r="A90" s="10">
        <v>45829</v>
      </c>
      <c r="B90" s="26">
        <v>2313</v>
      </c>
      <c r="C90" s="26">
        <v>796</v>
      </c>
      <c r="D90" s="26">
        <v>795.65</v>
      </c>
      <c r="E90" s="26">
        <v>1945.36</v>
      </c>
      <c r="F90" s="26">
        <v>0</v>
      </c>
      <c r="G90" s="26">
        <v>298.68</v>
      </c>
      <c r="H90" s="26">
        <v>47.24</v>
      </c>
      <c r="I90" s="26">
        <v>0</v>
      </c>
      <c r="J90" s="26">
        <v>22.07</v>
      </c>
      <c r="K90" s="26">
        <v>0</v>
      </c>
      <c r="L90" s="1">
        <f>VLOOKUP(Table3[[#This Row],[Date]],SW_LU[],3,TRUE)</f>
        <v>64</v>
      </c>
      <c r="M90" s="10"/>
      <c r="N90" s="15"/>
      <c r="O90" s="1"/>
      <c r="P90" s="1"/>
      <c r="Q90" s="16"/>
      <c r="R90" s="1"/>
      <c r="S90" s="16"/>
      <c r="T90" s="1"/>
      <c r="U90" s="1"/>
      <c r="V90" s="1"/>
      <c r="W90" s="1"/>
    </row>
    <row r="91" spans="1:23" x14ac:dyDescent="0.3">
      <c r="A91" s="10">
        <v>45830</v>
      </c>
      <c r="B91" s="26">
        <v>3112</v>
      </c>
      <c r="C91" s="26">
        <v>1534</v>
      </c>
      <c r="D91" s="26">
        <v>1533.64</v>
      </c>
      <c r="E91" s="26">
        <v>2540.9</v>
      </c>
      <c r="F91" s="26">
        <v>0</v>
      </c>
      <c r="G91" s="26">
        <v>470.18</v>
      </c>
      <c r="H91" s="26">
        <v>35.31</v>
      </c>
      <c r="I91" s="26">
        <v>0</v>
      </c>
      <c r="J91" s="26">
        <v>65.97</v>
      </c>
      <c r="K91" s="26">
        <v>0</v>
      </c>
      <c r="L91" s="1">
        <f>VLOOKUP(Table3[[#This Row],[Date]],SW_LU[],3,TRUE)</f>
        <v>64</v>
      </c>
      <c r="M91" s="10"/>
      <c r="N91" s="15"/>
      <c r="O91" s="1"/>
      <c r="P91" s="1"/>
      <c r="Q91" s="1"/>
      <c r="R91" s="1"/>
      <c r="S91" s="1"/>
      <c r="T91" s="1"/>
      <c r="U91" s="1"/>
      <c r="V91" s="1"/>
      <c r="W91" s="1"/>
    </row>
    <row r="92" spans="1:23" x14ac:dyDescent="0.3">
      <c r="A92" s="10">
        <v>45831</v>
      </c>
      <c r="B92" s="26">
        <v>2192</v>
      </c>
      <c r="C92" s="26">
        <v>1487</v>
      </c>
      <c r="D92" s="26">
        <v>1487.42</v>
      </c>
      <c r="E92" s="26">
        <v>1721.77</v>
      </c>
      <c r="F92" s="26">
        <v>0</v>
      </c>
      <c r="G92" s="26">
        <v>391.45</v>
      </c>
      <c r="H92" s="26">
        <v>0</v>
      </c>
      <c r="I92" s="26">
        <v>0</v>
      </c>
      <c r="J92" s="26">
        <v>78.36</v>
      </c>
      <c r="K92" s="26">
        <v>0</v>
      </c>
      <c r="L92" s="1">
        <f>VLOOKUP(Table3[[#This Row],[Date]],SW_LU[],3,TRUE)</f>
        <v>64</v>
      </c>
      <c r="M92" s="10"/>
      <c r="N92" s="15"/>
      <c r="O92" s="1"/>
      <c r="P92" s="1"/>
      <c r="Q92" s="16"/>
      <c r="R92" s="1"/>
      <c r="S92" s="16"/>
      <c r="T92" s="1"/>
      <c r="U92" s="1"/>
      <c r="V92" s="1"/>
      <c r="W92" s="1"/>
    </row>
    <row r="93" spans="1:23" x14ac:dyDescent="0.3">
      <c r="A93" s="10">
        <v>45832</v>
      </c>
      <c r="B93" s="26">
        <v>1274</v>
      </c>
      <c r="C93" s="26">
        <v>619</v>
      </c>
      <c r="D93" s="26">
        <v>585.5</v>
      </c>
      <c r="E93" s="26">
        <v>983.79</v>
      </c>
      <c r="F93" s="26">
        <v>33.880000000000003</v>
      </c>
      <c r="G93" s="26">
        <v>235.87</v>
      </c>
      <c r="H93" s="26">
        <v>33.880000000000003</v>
      </c>
      <c r="I93" s="26">
        <v>0</v>
      </c>
      <c r="J93" s="26">
        <v>20.07</v>
      </c>
      <c r="K93" s="26">
        <v>0</v>
      </c>
      <c r="L93" s="1">
        <f>VLOOKUP(Table3[[#This Row],[Date]],SW_LU[],3,TRUE)</f>
        <v>64</v>
      </c>
      <c r="M93" s="10"/>
      <c r="N93" s="15"/>
      <c r="O93" s="1"/>
      <c r="P93" s="1"/>
      <c r="Q93" s="16"/>
      <c r="R93" s="1"/>
      <c r="S93" s="16"/>
      <c r="T93" s="1"/>
      <c r="U93" s="1"/>
      <c r="V93" s="1"/>
      <c r="W93" s="1"/>
    </row>
    <row r="94" spans="1:23" x14ac:dyDescent="0.3">
      <c r="A94" s="10">
        <v>45833</v>
      </c>
      <c r="B94" s="26">
        <v>736</v>
      </c>
      <c r="C94" s="26">
        <v>245</v>
      </c>
      <c r="D94" s="26">
        <v>210.23</v>
      </c>
      <c r="E94" s="26">
        <v>560.54</v>
      </c>
      <c r="F94" s="26">
        <v>35.020000000000003</v>
      </c>
      <c r="G94" s="26">
        <v>140.18</v>
      </c>
      <c r="H94" s="26">
        <v>35.020000000000003</v>
      </c>
      <c r="I94" s="26">
        <v>0</v>
      </c>
      <c r="J94" s="26">
        <v>0</v>
      </c>
      <c r="K94" s="26">
        <v>0</v>
      </c>
      <c r="L94" s="1">
        <f>VLOOKUP(Table3[[#This Row],[Date]],SW_LU[],3,TRUE)</f>
        <v>64</v>
      </c>
      <c r="M94" s="10"/>
      <c r="N94" s="15"/>
      <c r="O94" s="1"/>
      <c r="P94" s="1"/>
      <c r="Q94" s="16"/>
      <c r="R94" s="1"/>
      <c r="S94" s="1"/>
      <c r="T94" s="1"/>
      <c r="U94" s="1"/>
      <c r="V94" s="1"/>
      <c r="W94" s="1"/>
    </row>
    <row r="95" spans="1:23" x14ac:dyDescent="0.3">
      <c r="A95" s="10">
        <v>45834</v>
      </c>
      <c r="B95" s="26">
        <v>942</v>
      </c>
      <c r="C95" s="26">
        <v>578</v>
      </c>
      <c r="D95" s="26">
        <v>486.25</v>
      </c>
      <c r="E95" s="26">
        <v>692.97</v>
      </c>
      <c r="F95" s="26">
        <v>91.81</v>
      </c>
      <c r="G95" s="26">
        <v>221.77</v>
      </c>
      <c r="H95" s="26">
        <v>27.21</v>
      </c>
      <c r="I95" s="26">
        <v>0</v>
      </c>
      <c r="J95" s="26">
        <v>0</v>
      </c>
      <c r="K95" s="26">
        <v>0</v>
      </c>
      <c r="L95" s="1">
        <f>VLOOKUP(Table3[[#This Row],[Date]],SW_LU[],3,TRUE)</f>
        <v>71</v>
      </c>
      <c r="M95" s="10"/>
      <c r="N95" s="1"/>
      <c r="O95" s="1"/>
      <c r="P95" s="1"/>
      <c r="Q95" s="1"/>
      <c r="R95" s="1"/>
      <c r="S95" s="1"/>
      <c r="T95" s="1"/>
      <c r="U95" s="1"/>
      <c r="V95" s="1"/>
      <c r="W95" s="1"/>
    </row>
    <row r="96" spans="1:23" x14ac:dyDescent="0.3">
      <c r="A96" s="10">
        <v>45835</v>
      </c>
      <c r="B96" s="26">
        <v>1083</v>
      </c>
      <c r="C96" s="26">
        <v>1130</v>
      </c>
      <c r="D96" s="26">
        <v>941.85</v>
      </c>
      <c r="E96" s="26">
        <v>753.31</v>
      </c>
      <c r="F96" s="26">
        <v>188.33</v>
      </c>
      <c r="G96" s="26">
        <v>329.52</v>
      </c>
      <c r="H96" s="26">
        <v>0</v>
      </c>
      <c r="I96" s="26">
        <v>0</v>
      </c>
      <c r="J96" s="26">
        <v>0</v>
      </c>
      <c r="K96" s="26">
        <v>0</v>
      </c>
      <c r="L96" s="1">
        <f>VLOOKUP(Table3[[#This Row],[Date]],SW_LU[],3,TRUE)</f>
        <v>71</v>
      </c>
      <c r="M96" s="10"/>
      <c r="N96" s="1"/>
      <c r="O96" s="1"/>
      <c r="P96" s="1"/>
      <c r="Q96" s="1"/>
      <c r="R96" s="1"/>
      <c r="S96" s="1"/>
      <c r="T96" s="1"/>
      <c r="U96" s="1"/>
      <c r="V96" s="1"/>
      <c r="W96" s="1"/>
    </row>
    <row r="97" spans="1:23" x14ac:dyDescent="0.3">
      <c r="A97" s="10">
        <v>45836</v>
      </c>
      <c r="B97" s="26">
        <v>696</v>
      </c>
      <c r="C97" s="26">
        <v>728</v>
      </c>
      <c r="D97" s="26">
        <v>635.66999999999996</v>
      </c>
      <c r="E97" s="26">
        <v>444.57</v>
      </c>
      <c r="F97" s="26">
        <v>91.85</v>
      </c>
      <c r="G97" s="26">
        <v>218.73</v>
      </c>
      <c r="H97" s="26">
        <v>22.07</v>
      </c>
      <c r="I97" s="26">
        <v>0</v>
      </c>
      <c r="J97" s="26">
        <v>11.11</v>
      </c>
      <c r="K97" s="26">
        <v>0</v>
      </c>
      <c r="L97" s="1">
        <f>VLOOKUP(Table3[[#This Row],[Date]],SW_LU[],3,TRUE)</f>
        <v>71</v>
      </c>
      <c r="M97" s="10"/>
      <c r="N97" s="1"/>
      <c r="O97" s="1"/>
      <c r="P97" s="1"/>
      <c r="Q97" s="1"/>
      <c r="R97" s="1"/>
      <c r="S97" s="1"/>
      <c r="T97" s="1"/>
      <c r="U97" s="1"/>
      <c r="V97" s="1"/>
      <c r="W97" s="1"/>
    </row>
    <row r="98" spans="1:23" x14ac:dyDescent="0.3">
      <c r="A98" s="10">
        <v>45837</v>
      </c>
      <c r="B98" s="26">
        <v>741</v>
      </c>
      <c r="C98" s="26">
        <v>775</v>
      </c>
      <c r="D98" s="26">
        <v>708.58</v>
      </c>
      <c r="E98" s="26">
        <v>430.54</v>
      </c>
      <c r="F98" s="26">
        <v>66.55</v>
      </c>
      <c r="G98" s="26">
        <v>239.83</v>
      </c>
      <c r="H98" s="26">
        <v>47</v>
      </c>
      <c r="I98" s="26">
        <v>0</v>
      </c>
      <c r="J98" s="26">
        <v>23.5</v>
      </c>
      <c r="K98" s="26">
        <v>0</v>
      </c>
      <c r="L98" s="1">
        <f>VLOOKUP(Table3[[#This Row],[Date]],SW_LU[],3,TRUE)</f>
        <v>71</v>
      </c>
      <c r="M98" s="10"/>
      <c r="N98" s="1"/>
      <c r="O98" s="1"/>
      <c r="P98" s="1"/>
      <c r="Q98" s="1"/>
      <c r="R98" s="1"/>
      <c r="S98" s="1"/>
      <c r="T98" s="1"/>
      <c r="U98" s="1"/>
      <c r="V98" s="1"/>
      <c r="W98" s="1"/>
    </row>
    <row r="99" spans="1:23" x14ac:dyDescent="0.3">
      <c r="A99" s="10">
        <v>45838</v>
      </c>
      <c r="B99" s="26">
        <v>1769</v>
      </c>
      <c r="C99" s="26">
        <v>1853</v>
      </c>
      <c r="D99" s="26">
        <v>1768.62</v>
      </c>
      <c r="E99" s="26">
        <v>926.51</v>
      </c>
      <c r="F99" s="26">
        <v>84.39</v>
      </c>
      <c r="G99" s="26">
        <v>589.66</v>
      </c>
      <c r="H99" s="26">
        <v>168.42</v>
      </c>
      <c r="I99" s="26">
        <v>0</v>
      </c>
      <c r="J99" s="26">
        <v>84.39</v>
      </c>
      <c r="K99" s="26">
        <v>0</v>
      </c>
      <c r="L99" s="1">
        <f>VLOOKUP(Table3[[#This Row],[Date]],SW_LU[],3,TRUE)</f>
        <v>71</v>
      </c>
      <c r="M99" s="10"/>
      <c r="N99" s="1"/>
      <c r="O99" s="1"/>
      <c r="P99" s="1"/>
      <c r="Q99" s="1"/>
      <c r="R99" s="1"/>
      <c r="S99" s="1"/>
      <c r="T99" s="1"/>
      <c r="U99" s="1"/>
      <c r="V99" s="1"/>
      <c r="W99" s="1"/>
    </row>
    <row r="100" spans="1:23" x14ac:dyDescent="0.3">
      <c r="A100" s="10">
        <v>45839</v>
      </c>
      <c r="B100" s="26">
        <v>1094</v>
      </c>
      <c r="C100" s="26">
        <v>1165</v>
      </c>
      <c r="D100" s="26">
        <v>1093.81</v>
      </c>
      <c r="E100" s="26">
        <v>605.19000000000005</v>
      </c>
      <c r="F100" s="26">
        <v>71.38</v>
      </c>
      <c r="G100" s="26">
        <v>342.01</v>
      </c>
      <c r="H100" s="26">
        <v>120.4</v>
      </c>
      <c r="I100" s="26">
        <v>0</v>
      </c>
      <c r="J100" s="26">
        <v>26.2</v>
      </c>
      <c r="K100" s="26">
        <v>0</v>
      </c>
      <c r="L100" s="1">
        <f>VLOOKUP(Table3[[#This Row],[Date]],SW_LU[],3,TRUE)</f>
        <v>71</v>
      </c>
      <c r="M100" s="10"/>
      <c r="N100" s="1"/>
      <c r="O100" s="1"/>
      <c r="P100" s="1"/>
      <c r="Q100" s="1"/>
      <c r="R100" s="1"/>
      <c r="S100" s="1"/>
      <c r="T100" s="1"/>
      <c r="U100" s="1"/>
      <c r="V100" s="1"/>
      <c r="W100" s="1"/>
    </row>
    <row r="101" spans="1:23" x14ac:dyDescent="0.3">
      <c r="A101" s="10">
        <v>45840</v>
      </c>
      <c r="B101" s="26">
        <v>806</v>
      </c>
      <c r="C101" s="26">
        <v>874</v>
      </c>
      <c r="D101" s="26">
        <v>806.4</v>
      </c>
      <c r="E101" s="26">
        <v>470.4</v>
      </c>
      <c r="F101" s="26">
        <v>67.2</v>
      </c>
      <c r="G101" s="26">
        <v>235.2</v>
      </c>
      <c r="H101" s="26">
        <v>100.8</v>
      </c>
      <c r="I101" s="26">
        <v>0</v>
      </c>
      <c r="J101" s="26">
        <v>0</v>
      </c>
      <c r="K101" s="26">
        <v>0</v>
      </c>
      <c r="L101" s="1">
        <f>VLOOKUP(Table3[[#This Row],[Date]],SW_LU[],3,TRUE)</f>
        <v>71</v>
      </c>
      <c r="M101" s="10"/>
      <c r="N101" s="15"/>
      <c r="O101" s="15"/>
      <c r="P101" s="16"/>
      <c r="Q101" s="16"/>
      <c r="R101" s="1"/>
      <c r="S101" s="16"/>
      <c r="T101" s="1"/>
      <c r="U101" s="1"/>
      <c r="V101" s="1"/>
      <c r="W101" s="1"/>
    </row>
    <row r="102" spans="1:23" x14ac:dyDescent="0.3">
      <c r="A102" s="10">
        <v>45841</v>
      </c>
      <c r="B102" s="26">
        <v>1542</v>
      </c>
      <c r="C102" s="26">
        <v>1998</v>
      </c>
      <c r="D102" s="26">
        <v>1850</v>
      </c>
      <c r="E102" s="26">
        <v>1034.3900000000001</v>
      </c>
      <c r="F102" s="26">
        <v>147.62</v>
      </c>
      <c r="G102" s="26">
        <v>363.2</v>
      </c>
      <c r="H102" s="26">
        <v>144.79</v>
      </c>
      <c r="I102" s="26">
        <v>0</v>
      </c>
      <c r="J102" s="26">
        <v>0</v>
      </c>
      <c r="K102" s="26">
        <v>0</v>
      </c>
      <c r="L102" s="1">
        <f>VLOOKUP(Table3[[#This Row],[Date]],SW_LU[],3,TRUE)</f>
        <v>72</v>
      </c>
      <c r="M102" s="10"/>
      <c r="N102" s="15"/>
      <c r="O102" s="15"/>
      <c r="P102" s="16"/>
      <c r="Q102" s="16"/>
      <c r="R102" s="1"/>
      <c r="S102" s="16"/>
      <c r="T102" s="1"/>
      <c r="U102" s="1"/>
      <c r="V102" s="1"/>
      <c r="W102" s="1"/>
    </row>
    <row r="103" spans="1:23" x14ac:dyDescent="0.3">
      <c r="A103" s="10">
        <v>45842</v>
      </c>
      <c r="B103" s="26">
        <v>1169</v>
      </c>
      <c r="C103" s="26">
        <v>1819</v>
      </c>
      <c r="D103" s="26">
        <v>1689.12</v>
      </c>
      <c r="E103" s="26">
        <v>909.25</v>
      </c>
      <c r="F103" s="26">
        <v>129.97999999999999</v>
      </c>
      <c r="G103" s="26">
        <v>194.82</v>
      </c>
      <c r="H103" s="26">
        <v>64.84</v>
      </c>
      <c r="I103" s="26">
        <v>0</v>
      </c>
      <c r="J103" s="26">
        <v>0</v>
      </c>
      <c r="K103" s="26">
        <v>0</v>
      </c>
      <c r="L103" s="1">
        <f>VLOOKUP(Table3[[#This Row],[Date]],SW_LU[],3,TRUE)</f>
        <v>72</v>
      </c>
      <c r="M103" s="10"/>
      <c r="N103" s="15"/>
      <c r="O103" s="1"/>
      <c r="P103" s="1"/>
      <c r="Q103" s="16"/>
      <c r="R103" s="1"/>
      <c r="S103" s="16"/>
      <c r="T103" s="1"/>
      <c r="U103" s="1"/>
      <c r="V103" s="1"/>
      <c r="W103" s="1"/>
    </row>
    <row r="104" spans="1:23" x14ac:dyDescent="0.3">
      <c r="A104" s="10">
        <v>45843</v>
      </c>
      <c r="B104" s="26">
        <v>1093</v>
      </c>
      <c r="C104" s="26">
        <v>1461</v>
      </c>
      <c r="D104" s="26">
        <v>1377.37</v>
      </c>
      <c r="E104" s="26">
        <v>730.44</v>
      </c>
      <c r="F104" s="26">
        <v>83.26</v>
      </c>
      <c r="G104" s="26">
        <v>247.74</v>
      </c>
      <c r="H104" s="26">
        <v>90.67</v>
      </c>
      <c r="I104" s="26">
        <v>0</v>
      </c>
      <c r="J104" s="26">
        <v>24.52</v>
      </c>
      <c r="K104" s="26">
        <v>0</v>
      </c>
      <c r="L104" s="1">
        <f>VLOOKUP(Table3[[#This Row],[Date]],SW_LU[],3,TRUE)</f>
        <v>72</v>
      </c>
      <c r="M104" s="10"/>
      <c r="N104" s="15"/>
      <c r="O104" s="1"/>
      <c r="P104" s="1"/>
      <c r="Q104" s="16"/>
      <c r="R104" s="1"/>
      <c r="S104" s="16"/>
      <c r="T104" s="1"/>
      <c r="U104" s="1"/>
      <c r="V104" s="1"/>
      <c r="W104" s="1"/>
    </row>
    <row r="105" spans="1:23" x14ac:dyDescent="0.3">
      <c r="A105" s="10">
        <v>45844</v>
      </c>
      <c r="B105" s="26">
        <v>545</v>
      </c>
      <c r="C105" s="26">
        <v>627</v>
      </c>
      <c r="D105" s="26">
        <v>601.70000000000005</v>
      </c>
      <c r="E105" s="26">
        <v>313.63</v>
      </c>
      <c r="F105" s="26">
        <v>25.43</v>
      </c>
      <c r="G105" s="26">
        <v>150.94999999999999</v>
      </c>
      <c r="H105" s="26">
        <v>57.78</v>
      </c>
      <c r="I105" s="26">
        <v>0</v>
      </c>
      <c r="J105" s="26">
        <v>22.5</v>
      </c>
      <c r="K105" s="26">
        <v>0</v>
      </c>
      <c r="L105" s="1">
        <f>VLOOKUP(Table3[[#This Row],[Date]],SW_LU[],3,TRUE)</f>
        <v>72</v>
      </c>
      <c r="M105" s="10"/>
      <c r="N105" s="15"/>
      <c r="O105" s="15"/>
      <c r="P105" s="16"/>
      <c r="Q105" s="16"/>
      <c r="R105" s="1"/>
      <c r="S105" s="16"/>
      <c r="T105" s="1"/>
      <c r="U105" s="1"/>
      <c r="V105" s="1"/>
      <c r="W105" s="1"/>
    </row>
    <row r="106" spans="1:23" x14ac:dyDescent="0.3">
      <c r="A106" s="10">
        <v>45845</v>
      </c>
      <c r="B106" s="26">
        <v>457</v>
      </c>
      <c r="C106" s="26">
        <v>454</v>
      </c>
      <c r="D106" s="26">
        <v>444.11</v>
      </c>
      <c r="E106" s="26">
        <v>227.02</v>
      </c>
      <c r="F106" s="26">
        <v>9.93</v>
      </c>
      <c r="G106" s="26">
        <v>146.22</v>
      </c>
      <c r="H106" s="26">
        <v>57.48</v>
      </c>
      <c r="I106" s="26">
        <v>0</v>
      </c>
      <c r="J106" s="26">
        <v>26.24</v>
      </c>
      <c r="K106" s="26">
        <v>0</v>
      </c>
      <c r="L106" s="1">
        <f>VLOOKUP(Table3[[#This Row],[Date]],SW_LU[],3,TRUE)</f>
        <v>72</v>
      </c>
      <c r="M106" s="10"/>
      <c r="N106" s="15"/>
      <c r="O106" s="15"/>
      <c r="P106" s="16"/>
      <c r="Q106" s="16"/>
      <c r="R106" s="1"/>
      <c r="S106" s="16"/>
      <c r="T106" s="1"/>
      <c r="U106" s="1"/>
      <c r="V106" s="1"/>
      <c r="W106" s="1"/>
    </row>
    <row r="107" spans="1:23" x14ac:dyDescent="0.3">
      <c r="A107" s="10">
        <v>45846</v>
      </c>
      <c r="B107" s="26">
        <v>630</v>
      </c>
      <c r="C107" s="26">
        <v>540</v>
      </c>
      <c r="D107" s="26">
        <v>539.96</v>
      </c>
      <c r="E107" s="26">
        <v>270.04000000000002</v>
      </c>
      <c r="F107" s="26">
        <v>0</v>
      </c>
      <c r="G107" s="26">
        <v>224.99</v>
      </c>
      <c r="H107" s="26">
        <v>89.97</v>
      </c>
      <c r="I107" s="26">
        <v>0</v>
      </c>
      <c r="J107" s="26">
        <v>45.05</v>
      </c>
      <c r="K107" s="26">
        <v>0</v>
      </c>
      <c r="L107" s="1">
        <f>VLOOKUP(Table3[[#This Row],[Date]],SW_LU[],3,TRUE)</f>
        <v>72</v>
      </c>
      <c r="M107" s="10"/>
      <c r="N107" s="15"/>
      <c r="O107" s="15"/>
      <c r="P107" s="16"/>
      <c r="Q107" s="16"/>
      <c r="R107" s="1"/>
      <c r="S107" s="1"/>
      <c r="T107" s="1"/>
      <c r="U107" s="1"/>
      <c r="V107" s="1"/>
      <c r="W107" s="1"/>
    </row>
    <row r="108" spans="1:23" x14ac:dyDescent="0.3">
      <c r="A108" s="10">
        <v>45847</v>
      </c>
      <c r="B108" s="26">
        <v>846</v>
      </c>
      <c r="C108" s="26">
        <v>829</v>
      </c>
      <c r="D108" s="26">
        <v>817.9</v>
      </c>
      <c r="E108" s="26">
        <v>408.87</v>
      </c>
      <c r="F108" s="26">
        <v>11.56</v>
      </c>
      <c r="G108" s="26">
        <v>284.58</v>
      </c>
      <c r="H108" s="26">
        <v>109.21</v>
      </c>
      <c r="I108" s="26">
        <v>0</v>
      </c>
      <c r="J108" s="26">
        <v>42.88</v>
      </c>
      <c r="K108" s="26">
        <v>0</v>
      </c>
      <c r="L108" s="1">
        <f>VLOOKUP(Table3[[#This Row],[Date]],SW_LU[],3,TRUE)</f>
        <v>72</v>
      </c>
      <c r="M108" s="10"/>
      <c r="N108" s="15"/>
      <c r="O108" s="15"/>
      <c r="P108" s="16"/>
      <c r="Q108" s="16"/>
      <c r="R108" s="1"/>
      <c r="S108" s="1"/>
      <c r="T108" s="1"/>
      <c r="U108" s="1"/>
      <c r="V108" s="1"/>
      <c r="W108" s="1"/>
    </row>
    <row r="109" spans="1:23" x14ac:dyDescent="0.3">
      <c r="A109" s="10">
        <v>45848</v>
      </c>
      <c r="B109" s="26">
        <v>1580</v>
      </c>
      <c r="C109" s="26">
        <v>1774</v>
      </c>
      <c r="D109" s="26">
        <v>1727.31</v>
      </c>
      <c r="E109" s="26">
        <v>863.66</v>
      </c>
      <c r="F109" s="26">
        <v>46.62</v>
      </c>
      <c r="G109" s="26">
        <v>494.38</v>
      </c>
      <c r="H109" s="26">
        <v>179.1</v>
      </c>
      <c r="I109" s="26">
        <v>0</v>
      </c>
      <c r="J109" s="26">
        <v>42.93</v>
      </c>
      <c r="K109" s="26">
        <v>0</v>
      </c>
      <c r="L109" s="1">
        <f>VLOOKUP(Table3[[#This Row],[Date]],SW_LU[],3,TRUE)</f>
        <v>73</v>
      </c>
      <c r="M109" s="10"/>
      <c r="N109" s="15"/>
      <c r="O109" s="15"/>
      <c r="P109" s="16"/>
      <c r="Q109" s="16"/>
      <c r="R109" s="1"/>
      <c r="S109" s="1"/>
      <c r="T109" s="1"/>
      <c r="U109" s="1"/>
      <c r="V109" s="1"/>
      <c r="W109" s="1"/>
    </row>
    <row r="110" spans="1:23" x14ac:dyDescent="0.3">
      <c r="A110" s="10">
        <v>45849</v>
      </c>
      <c r="B110" s="26">
        <v>1683</v>
      </c>
      <c r="C110" s="26">
        <v>2163</v>
      </c>
      <c r="D110" s="26">
        <v>2083.38</v>
      </c>
      <c r="E110" s="26">
        <v>1041.5</v>
      </c>
      <c r="F110" s="26">
        <v>80</v>
      </c>
      <c r="G110" s="26">
        <v>480.75</v>
      </c>
      <c r="H110" s="26">
        <v>160.38</v>
      </c>
      <c r="I110" s="26">
        <v>0</v>
      </c>
      <c r="J110" s="26">
        <v>0</v>
      </c>
      <c r="K110" s="26">
        <v>0</v>
      </c>
      <c r="L110" s="1">
        <f>VLOOKUP(Table3[[#This Row],[Date]],SW_LU[],3,TRUE)</f>
        <v>73</v>
      </c>
      <c r="M110" s="10"/>
      <c r="N110" s="15"/>
      <c r="O110" s="1"/>
      <c r="P110" s="1"/>
      <c r="Q110" s="1"/>
      <c r="R110" s="1"/>
      <c r="S110" s="1"/>
      <c r="T110" s="1"/>
      <c r="U110" s="1"/>
      <c r="V110" s="1"/>
      <c r="W110" s="1"/>
    </row>
    <row r="111" spans="1:23" x14ac:dyDescent="0.3">
      <c r="A111" s="10">
        <v>45850</v>
      </c>
      <c r="B111" s="26">
        <v>1400</v>
      </c>
      <c r="C111" s="26">
        <v>2014</v>
      </c>
      <c r="D111" s="26">
        <v>1890.33</v>
      </c>
      <c r="E111" s="26">
        <v>1021.13</v>
      </c>
      <c r="F111" s="26">
        <v>123.25</v>
      </c>
      <c r="G111" s="26">
        <v>284.39</v>
      </c>
      <c r="H111" s="26">
        <v>94.91</v>
      </c>
      <c r="I111" s="26">
        <v>0</v>
      </c>
      <c r="J111" s="26">
        <v>0</v>
      </c>
      <c r="K111" s="26">
        <v>0</v>
      </c>
      <c r="L111" s="1">
        <f>VLOOKUP(Table3[[#This Row],[Date]],SW_LU[],3,TRUE)</f>
        <v>73</v>
      </c>
      <c r="M111" s="10"/>
      <c r="N111" s="1"/>
      <c r="O111" s="1"/>
      <c r="P111" s="1"/>
      <c r="Q111" s="1"/>
      <c r="R111" s="1"/>
      <c r="S111" s="1"/>
      <c r="T111" s="1"/>
      <c r="U111" s="1"/>
      <c r="V111" s="1"/>
      <c r="W111" s="1"/>
    </row>
    <row r="112" spans="1:23" x14ac:dyDescent="0.3">
      <c r="A112" s="10">
        <v>45851</v>
      </c>
      <c r="B112" s="26">
        <v>467</v>
      </c>
      <c r="C112" s="26">
        <v>753</v>
      </c>
      <c r="D112" s="26">
        <v>690.15</v>
      </c>
      <c r="E112" s="26">
        <v>399.31</v>
      </c>
      <c r="F112" s="26">
        <v>62.71</v>
      </c>
      <c r="G112" s="26">
        <v>50.87</v>
      </c>
      <c r="H112" s="26">
        <v>16.96</v>
      </c>
      <c r="I112" s="26">
        <v>0</v>
      </c>
      <c r="J112" s="26">
        <v>0</v>
      </c>
      <c r="K112" s="26">
        <v>0</v>
      </c>
      <c r="L112" s="1">
        <f>VLOOKUP(Table3[[#This Row],[Date]],SW_LU[],3,TRUE)</f>
        <v>73</v>
      </c>
      <c r="M112" s="10"/>
      <c r="N112" s="1"/>
      <c r="O112" s="1"/>
      <c r="P112" s="1"/>
      <c r="Q112" s="1"/>
      <c r="R112" s="1"/>
      <c r="S112" s="1"/>
      <c r="T112" s="1"/>
      <c r="U112" s="1"/>
      <c r="V112" s="1"/>
      <c r="W112" s="1"/>
    </row>
    <row r="113" spans="1:23" x14ac:dyDescent="0.3">
      <c r="A113" s="10">
        <v>45852</v>
      </c>
      <c r="B113" s="26">
        <v>238</v>
      </c>
      <c r="C113" s="26">
        <v>431</v>
      </c>
      <c r="D113" s="26">
        <v>386.48</v>
      </c>
      <c r="E113" s="26">
        <v>237.9</v>
      </c>
      <c r="F113" s="26">
        <v>44.62</v>
      </c>
      <c r="G113" s="26">
        <v>0</v>
      </c>
      <c r="H113" s="26">
        <v>0</v>
      </c>
      <c r="I113" s="26">
        <v>0</v>
      </c>
      <c r="J113" s="26">
        <v>0</v>
      </c>
      <c r="K113" s="26">
        <v>0</v>
      </c>
      <c r="L113" s="1">
        <f>VLOOKUP(Table3[[#This Row],[Date]],SW_LU[],3,TRUE)</f>
        <v>73</v>
      </c>
      <c r="M113" s="10"/>
      <c r="N113" s="1"/>
      <c r="O113" s="1"/>
      <c r="P113" s="1"/>
      <c r="Q113" s="1"/>
      <c r="R113" s="1"/>
      <c r="S113" s="1"/>
      <c r="T113" s="1"/>
      <c r="U113" s="1"/>
      <c r="V113" s="1"/>
      <c r="W113" s="1"/>
    </row>
    <row r="114" spans="1:23" x14ac:dyDescent="0.3">
      <c r="A114" s="10">
        <v>45853</v>
      </c>
      <c r="B114" s="26">
        <v>217</v>
      </c>
      <c r="C114" s="26">
        <v>384</v>
      </c>
      <c r="D114" s="26">
        <v>345.27</v>
      </c>
      <c r="E114" s="26">
        <v>204.7</v>
      </c>
      <c r="F114" s="26">
        <v>38.4</v>
      </c>
      <c r="G114" s="26">
        <v>8.41</v>
      </c>
      <c r="H114" s="26">
        <v>2.1</v>
      </c>
      <c r="I114" s="26">
        <v>0</v>
      </c>
      <c r="J114" s="26">
        <v>2.1</v>
      </c>
      <c r="K114" s="26">
        <v>0</v>
      </c>
      <c r="L114" s="1">
        <f>VLOOKUP(Table3[[#This Row],[Date]],SW_LU[],3,TRUE)</f>
        <v>73</v>
      </c>
      <c r="M114" s="10"/>
      <c r="N114" s="1"/>
      <c r="O114" s="1"/>
      <c r="P114" s="1"/>
      <c r="Q114" s="1"/>
      <c r="R114" s="1"/>
      <c r="S114" s="1"/>
      <c r="T114" s="1"/>
      <c r="U114" s="1"/>
      <c r="V114" s="1"/>
      <c r="W114" s="1"/>
    </row>
    <row r="115" spans="1:23" x14ac:dyDescent="0.3">
      <c r="A115" s="10">
        <v>45854</v>
      </c>
      <c r="B115" s="26">
        <v>86</v>
      </c>
      <c r="C115" s="26">
        <v>148</v>
      </c>
      <c r="D115" s="26">
        <v>133.66</v>
      </c>
      <c r="E115" s="26">
        <v>76.19</v>
      </c>
      <c r="F115" s="26">
        <v>14.3</v>
      </c>
      <c r="G115" s="26">
        <v>6.58</v>
      </c>
      <c r="H115" s="26">
        <v>1.64</v>
      </c>
      <c r="I115" s="26">
        <v>0</v>
      </c>
      <c r="J115" s="26">
        <v>1.64</v>
      </c>
      <c r="K115" s="26">
        <v>0</v>
      </c>
      <c r="L115" s="1">
        <f>VLOOKUP(Table3[[#This Row],[Date]],SW_LU[],3,TRUE)</f>
        <v>73</v>
      </c>
      <c r="M115" s="10"/>
      <c r="N115" s="1"/>
      <c r="O115" s="1"/>
      <c r="P115" s="1"/>
      <c r="Q115" s="1"/>
      <c r="R115" s="1"/>
      <c r="S115" s="1"/>
      <c r="T115" s="1"/>
      <c r="U115" s="1"/>
      <c r="V115" s="1"/>
      <c r="W115" s="1"/>
    </row>
    <row r="116" spans="1:23" x14ac:dyDescent="0.3">
      <c r="A116" s="10">
        <v>45855</v>
      </c>
      <c r="B116" s="26">
        <v>89</v>
      </c>
      <c r="C116" s="26">
        <v>149</v>
      </c>
      <c r="D116" s="26">
        <v>135.21</v>
      </c>
      <c r="E116" s="26">
        <v>73.92</v>
      </c>
      <c r="F116" s="26">
        <v>13.85</v>
      </c>
      <c r="G116" s="26">
        <v>10.02</v>
      </c>
      <c r="H116" s="26">
        <v>2.5</v>
      </c>
      <c r="I116" s="26">
        <v>0</v>
      </c>
      <c r="J116" s="26">
        <v>2.5</v>
      </c>
      <c r="K116" s="26">
        <v>0</v>
      </c>
      <c r="L116" s="1">
        <f>VLOOKUP(Table3[[#This Row],[Date]],SW_LU[],3,TRUE)</f>
        <v>74</v>
      </c>
      <c r="M116" s="10"/>
      <c r="N116" s="15"/>
      <c r="O116" s="1"/>
      <c r="P116" s="1"/>
      <c r="Q116" s="1"/>
      <c r="R116" s="1"/>
      <c r="S116" s="1"/>
      <c r="T116" s="1"/>
      <c r="U116" s="1"/>
      <c r="V116" s="1"/>
      <c r="W116" s="1"/>
    </row>
    <row r="117" spans="1:23" x14ac:dyDescent="0.3">
      <c r="A117" s="10">
        <v>45856</v>
      </c>
      <c r="B117" s="26">
        <v>41</v>
      </c>
      <c r="C117" s="26">
        <v>66</v>
      </c>
      <c r="D117" s="26">
        <v>60.43</v>
      </c>
      <c r="E117" s="26">
        <v>31.64</v>
      </c>
      <c r="F117" s="26">
        <v>5.93</v>
      </c>
      <c r="G117" s="26">
        <v>6</v>
      </c>
      <c r="H117" s="26">
        <v>1.5</v>
      </c>
      <c r="I117" s="26">
        <v>0</v>
      </c>
      <c r="J117" s="26">
        <v>1.5</v>
      </c>
      <c r="K117" s="26">
        <v>0</v>
      </c>
      <c r="L117" s="1">
        <f>VLOOKUP(Table3[[#This Row],[Date]],SW_LU[],3,TRUE)</f>
        <v>74</v>
      </c>
      <c r="M117" s="10"/>
      <c r="N117" s="1"/>
      <c r="O117" s="1"/>
      <c r="P117" s="1"/>
      <c r="Q117" s="1"/>
      <c r="R117" s="1"/>
      <c r="S117" s="1"/>
      <c r="T117" s="1"/>
      <c r="U117" s="1"/>
      <c r="V117" s="1"/>
      <c r="W117" s="1"/>
    </row>
    <row r="118" spans="1:23" x14ac:dyDescent="0.3">
      <c r="A118" s="10">
        <v>45857</v>
      </c>
      <c r="B118" s="26">
        <v>137</v>
      </c>
      <c r="C118" s="26">
        <v>219</v>
      </c>
      <c r="D118" s="26">
        <v>199.89</v>
      </c>
      <c r="E118" s="26">
        <v>99.93</v>
      </c>
      <c r="F118" s="26">
        <v>18.73</v>
      </c>
      <c r="G118" s="26">
        <v>24.99</v>
      </c>
      <c r="H118" s="26">
        <v>6.23</v>
      </c>
      <c r="I118" s="26">
        <v>0</v>
      </c>
      <c r="J118" s="26">
        <v>6.23</v>
      </c>
      <c r="K118" s="26">
        <v>0</v>
      </c>
      <c r="L118" s="1">
        <f>VLOOKUP(Table3[[#This Row],[Date]],SW_LU[],3,TRUE)</f>
        <v>74</v>
      </c>
      <c r="M118" s="10"/>
      <c r="N118" s="1"/>
      <c r="O118" s="1"/>
      <c r="P118" s="1"/>
      <c r="Q118" s="1"/>
      <c r="R118" s="1"/>
      <c r="S118" s="1"/>
      <c r="T118" s="1"/>
      <c r="U118" s="1"/>
      <c r="V118" s="1"/>
      <c r="W118" s="1"/>
    </row>
    <row r="119" spans="1:23" x14ac:dyDescent="0.3">
      <c r="A119" s="10">
        <v>45858</v>
      </c>
      <c r="B119" s="26">
        <v>424</v>
      </c>
      <c r="C119" s="26">
        <v>793</v>
      </c>
      <c r="D119" s="26">
        <v>700.38</v>
      </c>
      <c r="E119" s="26">
        <v>300.95999999999998</v>
      </c>
      <c r="F119" s="26">
        <v>92.74</v>
      </c>
      <c r="G119" s="26">
        <v>81.900000000000006</v>
      </c>
      <c r="H119" s="26">
        <v>24.95</v>
      </c>
      <c r="I119" s="26">
        <v>0</v>
      </c>
      <c r="J119" s="26">
        <v>16.059999999999999</v>
      </c>
      <c r="K119" s="26">
        <v>0</v>
      </c>
      <c r="L119" s="1">
        <f>VLOOKUP(Table3[[#This Row],[Date]],SW_LU[],3,TRUE)</f>
        <v>74</v>
      </c>
      <c r="M119" s="10"/>
      <c r="N119" s="1"/>
      <c r="O119" s="1"/>
      <c r="P119" s="1"/>
      <c r="Q119" s="1"/>
      <c r="R119" s="1"/>
      <c r="S119" s="1"/>
      <c r="T119" s="1"/>
      <c r="U119" s="1"/>
      <c r="V119" s="1"/>
      <c r="W119" s="1"/>
    </row>
    <row r="120" spans="1:23" x14ac:dyDescent="0.3">
      <c r="A120" s="10">
        <v>45859</v>
      </c>
      <c r="B120" s="26">
        <v>756</v>
      </c>
      <c r="C120" s="26">
        <v>1677</v>
      </c>
      <c r="D120" s="26">
        <v>1434.25</v>
      </c>
      <c r="E120" s="26">
        <v>520.41999999999996</v>
      </c>
      <c r="F120" s="26">
        <v>242.81</v>
      </c>
      <c r="G120" s="26">
        <v>156.93</v>
      </c>
      <c r="H120" s="26">
        <v>57.18</v>
      </c>
      <c r="I120" s="26">
        <v>0</v>
      </c>
      <c r="J120" s="26">
        <v>21.41</v>
      </c>
      <c r="K120" s="26">
        <v>0</v>
      </c>
      <c r="L120" s="1">
        <f>VLOOKUP(Table3[[#This Row],[Date]],SW_LU[],3,TRUE)</f>
        <v>74</v>
      </c>
      <c r="M120" s="10"/>
      <c r="N120" s="15"/>
      <c r="O120" s="15"/>
      <c r="P120" s="16"/>
      <c r="Q120" s="16"/>
      <c r="R120" s="1"/>
      <c r="S120" s="16"/>
      <c r="T120" s="1"/>
      <c r="U120" s="1"/>
      <c r="V120" s="1"/>
      <c r="W120" s="1"/>
    </row>
    <row r="121" spans="1:23" x14ac:dyDescent="0.3">
      <c r="A121" s="10">
        <v>45860</v>
      </c>
      <c r="B121" s="26">
        <v>576</v>
      </c>
      <c r="C121" s="26">
        <v>1533</v>
      </c>
      <c r="D121" s="26">
        <v>1272.78</v>
      </c>
      <c r="E121" s="26">
        <v>380.67</v>
      </c>
      <c r="F121" s="26">
        <v>260.45999999999998</v>
      </c>
      <c r="G121" s="26">
        <v>130.13</v>
      </c>
      <c r="H121" s="26">
        <v>55.68</v>
      </c>
      <c r="I121" s="26">
        <v>0</v>
      </c>
      <c r="J121" s="26">
        <v>9.2799999999999994</v>
      </c>
      <c r="K121" s="26">
        <v>0</v>
      </c>
      <c r="L121" s="1">
        <f>VLOOKUP(Table3[[#This Row],[Date]],SW_LU[],3,TRUE)</f>
        <v>74</v>
      </c>
      <c r="M121" s="10"/>
      <c r="N121" s="15"/>
      <c r="O121" s="1"/>
      <c r="P121" s="1"/>
      <c r="Q121" s="1"/>
      <c r="R121" s="1"/>
      <c r="S121" s="1"/>
      <c r="T121" s="1"/>
      <c r="U121" s="1"/>
      <c r="V121" s="1"/>
      <c r="W121" s="1"/>
    </row>
    <row r="122" spans="1:23" x14ac:dyDescent="0.3">
      <c r="A122" s="10">
        <v>45861</v>
      </c>
      <c r="B122" s="26">
        <v>261</v>
      </c>
      <c r="C122" s="26">
        <v>848</v>
      </c>
      <c r="D122" s="26">
        <v>684.92</v>
      </c>
      <c r="E122" s="26">
        <v>163.13</v>
      </c>
      <c r="F122" s="26">
        <v>163.13</v>
      </c>
      <c r="G122" s="26">
        <v>65.209999999999994</v>
      </c>
      <c r="H122" s="26">
        <v>32.6</v>
      </c>
      <c r="I122" s="26">
        <v>0</v>
      </c>
      <c r="J122" s="26">
        <v>0</v>
      </c>
      <c r="K122" s="26">
        <v>0</v>
      </c>
      <c r="L122" s="1">
        <f>VLOOKUP(Table3[[#This Row],[Date]],SW_LU[],3,TRUE)</f>
        <v>74</v>
      </c>
      <c r="M122" s="10"/>
      <c r="N122" s="15"/>
      <c r="O122" s="1"/>
      <c r="P122" s="1"/>
      <c r="Q122" s="1"/>
      <c r="R122" s="1"/>
      <c r="S122" s="1"/>
      <c r="T122" s="1"/>
      <c r="U122" s="1"/>
      <c r="V122" s="1"/>
      <c r="W122" s="1"/>
    </row>
    <row r="123" spans="1:23" x14ac:dyDescent="0.3">
      <c r="A123" s="10">
        <v>45862</v>
      </c>
      <c r="B123" s="26">
        <v>461</v>
      </c>
      <c r="C123" s="26">
        <v>950</v>
      </c>
      <c r="D123" s="26">
        <v>813.02</v>
      </c>
      <c r="E123" s="26">
        <v>300.68</v>
      </c>
      <c r="F123" s="26">
        <v>136.58000000000001</v>
      </c>
      <c r="G123" s="26">
        <v>107.09</v>
      </c>
      <c r="H123" s="26">
        <v>53.62</v>
      </c>
      <c r="I123" s="26">
        <v>0</v>
      </c>
      <c r="J123" s="26">
        <v>0</v>
      </c>
      <c r="K123" s="26">
        <v>0</v>
      </c>
      <c r="L123" s="1">
        <f>VLOOKUP(Table3[[#This Row],[Date]],SW_LU[],3,TRUE)</f>
        <v>75</v>
      </c>
      <c r="M123" s="10"/>
      <c r="N123" s="1"/>
      <c r="O123" s="1"/>
      <c r="P123" s="1"/>
      <c r="Q123" s="1"/>
      <c r="R123" s="1"/>
      <c r="S123" s="1"/>
      <c r="T123" s="1"/>
      <c r="U123" s="1"/>
      <c r="V123" s="1"/>
      <c r="W123" s="1"/>
    </row>
    <row r="124" spans="1:23" x14ac:dyDescent="0.3">
      <c r="A124" s="10">
        <v>45863</v>
      </c>
      <c r="B124" s="26">
        <v>454</v>
      </c>
      <c r="C124" s="26">
        <v>631</v>
      </c>
      <c r="D124" s="26">
        <v>580.37</v>
      </c>
      <c r="E124" s="26">
        <v>302.82</v>
      </c>
      <c r="F124" s="26">
        <v>50.45</v>
      </c>
      <c r="G124" s="26">
        <v>100.91</v>
      </c>
      <c r="H124" s="26">
        <v>50.45</v>
      </c>
      <c r="I124" s="26">
        <v>0</v>
      </c>
      <c r="J124" s="26">
        <v>0</v>
      </c>
      <c r="K124" s="26">
        <v>0</v>
      </c>
      <c r="L124" s="1">
        <f>VLOOKUP(Table3[[#This Row],[Date]],SW_LU[],3,TRUE)</f>
        <v>75</v>
      </c>
      <c r="M124" s="10"/>
      <c r="N124" s="15"/>
      <c r="O124" s="1"/>
      <c r="P124" s="1"/>
      <c r="Q124" s="1"/>
      <c r="R124" s="1"/>
      <c r="S124" s="1"/>
      <c r="T124" s="1"/>
      <c r="U124" s="1"/>
      <c r="V124" s="1"/>
      <c r="W124" s="1"/>
    </row>
    <row r="125" spans="1:23" x14ac:dyDescent="0.3">
      <c r="A125" s="10">
        <v>45864</v>
      </c>
      <c r="B125" s="26">
        <v>327</v>
      </c>
      <c r="C125" s="26">
        <v>412</v>
      </c>
      <c r="D125" s="26">
        <v>363.07</v>
      </c>
      <c r="E125" s="26">
        <v>221.33</v>
      </c>
      <c r="F125" s="26">
        <v>49.14</v>
      </c>
      <c r="G125" s="26">
        <v>77.3</v>
      </c>
      <c r="H125" s="26">
        <v>28.16</v>
      </c>
      <c r="I125" s="26">
        <v>0</v>
      </c>
      <c r="J125" s="26">
        <v>0</v>
      </c>
      <c r="K125" s="26">
        <v>0</v>
      </c>
      <c r="L125" s="1">
        <f>VLOOKUP(Table3[[#This Row],[Date]],SW_LU[],3,TRUE)</f>
        <v>75</v>
      </c>
      <c r="M125" s="10"/>
      <c r="N125" s="1"/>
      <c r="O125" s="1"/>
      <c r="P125" s="1"/>
      <c r="Q125" s="1"/>
      <c r="R125" s="1"/>
      <c r="S125" s="1"/>
      <c r="T125" s="1"/>
      <c r="U125" s="1"/>
      <c r="V125" s="1"/>
      <c r="W125" s="1"/>
    </row>
    <row r="126" spans="1:23" x14ac:dyDescent="0.3">
      <c r="A126" s="10">
        <v>45865</v>
      </c>
      <c r="B126" s="26">
        <v>528</v>
      </c>
      <c r="C126" s="26">
        <v>605</v>
      </c>
      <c r="D126" s="26">
        <v>507.36</v>
      </c>
      <c r="E126" s="26">
        <v>362.56</v>
      </c>
      <c r="F126" s="26">
        <v>97.89</v>
      </c>
      <c r="G126" s="26">
        <v>131.54</v>
      </c>
      <c r="H126" s="26">
        <v>33.65</v>
      </c>
      <c r="I126" s="26">
        <v>0</v>
      </c>
      <c r="J126" s="26">
        <v>0</v>
      </c>
      <c r="K126" s="26">
        <v>0</v>
      </c>
      <c r="L126" s="1">
        <f>VLOOKUP(Table3[[#This Row],[Date]],SW_LU[],3,TRUE)</f>
        <v>75</v>
      </c>
      <c r="M126" s="10"/>
      <c r="N126" s="15"/>
      <c r="O126" s="1"/>
      <c r="P126" s="1"/>
      <c r="Q126" s="1"/>
      <c r="R126" s="1"/>
      <c r="S126" s="1"/>
      <c r="T126" s="1"/>
      <c r="U126" s="1"/>
      <c r="V126" s="1"/>
      <c r="W126" s="1"/>
    </row>
    <row r="127" spans="1:23" x14ac:dyDescent="0.3">
      <c r="A127" s="10">
        <v>45866</v>
      </c>
      <c r="B127" s="26">
        <v>1259</v>
      </c>
      <c r="C127" s="26">
        <v>1314</v>
      </c>
      <c r="D127" s="26">
        <v>1040.01</v>
      </c>
      <c r="E127" s="26">
        <v>875.85</v>
      </c>
      <c r="F127" s="26">
        <v>273.77</v>
      </c>
      <c r="G127" s="26">
        <v>328.57</v>
      </c>
      <c r="H127" s="26">
        <v>54.8</v>
      </c>
      <c r="I127" s="26">
        <v>0</v>
      </c>
      <c r="J127" s="26">
        <v>0</v>
      </c>
      <c r="K127" s="26">
        <v>0</v>
      </c>
      <c r="L127" s="1">
        <f>VLOOKUP(Table3[[#This Row],[Date]],SW_LU[],3,TRUE)</f>
        <v>75</v>
      </c>
      <c r="M127" s="10"/>
      <c r="N127" s="1"/>
      <c r="O127" s="1"/>
      <c r="P127" s="1"/>
      <c r="Q127" s="1"/>
      <c r="R127" s="1"/>
      <c r="S127" s="1"/>
      <c r="T127" s="1"/>
      <c r="U127" s="1"/>
      <c r="V127" s="1"/>
      <c r="W127" s="1"/>
    </row>
    <row r="128" spans="1:23" x14ac:dyDescent="0.3">
      <c r="A128" s="10">
        <v>45867</v>
      </c>
      <c r="B128" s="26">
        <v>1338</v>
      </c>
      <c r="C128" s="26">
        <v>1257</v>
      </c>
      <c r="D128" s="26">
        <v>1033.33</v>
      </c>
      <c r="E128" s="26">
        <v>903.58</v>
      </c>
      <c r="F128" s="26">
        <v>223.43</v>
      </c>
      <c r="G128" s="26">
        <v>358.37</v>
      </c>
      <c r="H128" s="26">
        <v>56.57</v>
      </c>
      <c r="I128" s="26">
        <v>0</v>
      </c>
      <c r="J128" s="26">
        <v>19.72</v>
      </c>
      <c r="K128" s="26">
        <v>0</v>
      </c>
      <c r="L128" s="1">
        <f>VLOOKUP(Table3[[#This Row],[Date]],SW_LU[],3,TRUE)</f>
        <v>75</v>
      </c>
      <c r="M128" s="10"/>
      <c r="N128" s="1"/>
      <c r="O128" s="1"/>
      <c r="P128" s="1"/>
      <c r="Q128" s="1"/>
      <c r="R128" s="1"/>
      <c r="S128" s="1"/>
      <c r="T128" s="1"/>
      <c r="U128" s="1"/>
      <c r="V128" s="1"/>
      <c r="W128" s="1"/>
    </row>
    <row r="129" spans="1:23" x14ac:dyDescent="0.3">
      <c r="A129" s="10">
        <v>45868</v>
      </c>
      <c r="B129" s="26">
        <v>814</v>
      </c>
      <c r="C129" s="26">
        <v>689</v>
      </c>
      <c r="D129" s="26">
        <v>589.63</v>
      </c>
      <c r="E129" s="26">
        <v>534.91999999999996</v>
      </c>
      <c r="F129" s="26">
        <v>98.9</v>
      </c>
      <c r="G129" s="26">
        <v>223.35</v>
      </c>
      <c r="H129" s="26">
        <v>33.369999999999997</v>
      </c>
      <c r="I129" s="26">
        <v>0</v>
      </c>
      <c r="J129" s="26">
        <v>22.85</v>
      </c>
      <c r="K129" s="26">
        <v>0</v>
      </c>
      <c r="L129" s="1">
        <f>VLOOKUP(Table3[[#This Row],[Date]],SW_LU[],3,TRUE)</f>
        <v>75</v>
      </c>
      <c r="M129" s="10"/>
      <c r="N129" s="1"/>
      <c r="O129" s="1"/>
      <c r="P129" s="1"/>
      <c r="Q129" s="1"/>
      <c r="R129" s="1"/>
      <c r="S129" s="1"/>
      <c r="T129" s="1"/>
      <c r="U129" s="1"/>
      <c r="V129" s="1"/>
      <c r="W129" s="1"/>
    </row>
    <row r="130" spans="1:23" x14ac:dyDescent="0.3">
      <c r="A130" s="10">
        <v>45869</v>
      </c>
      <c r="B130" s="26">
        <v>389</v>
      </c>
      <c r="C130" s="26">
        <v>295</v>
      </c>
      <c r="D130" s="26">
        <v>264.3</v>
      </c>
      <c r="E130" s="26">
        <v>248.7</v>
      </c>
      <c r="F130" s="26">
        <v>31.12</v>
      </c>
      <c r="G130" s="26">
        <v>108.82</v>
      </c>
      <c r="H130" s="26">
        <v>15.53</v>
      </c>
      <c r="I130" s="26">
        <v>0</v>
      </c>
      <c r="J130" s="26">
        <v>15.53</v>
      </c>
      <c r="K130" s="26">
        <v>0</v>
      </c>
      <c r="L130" s="1">
        <f>VLOOKUP(Table3[[#This Row],[Date]],SW_LU[],3,TRUE)</f>
        <v>81</v>
      </c>
      <c r="M130" s="10"/>
      <c r="N130" s="1"/>
      <c r="O130" s="1"/>
      <c r="P130" s="1"/>
      <c r="Q130" s="1"/>
      <c r="R130" s="1"/>
      <c r="S130" s="1"/>
      <c r="T130" s="1"/>
      <c r="U130" s="1"/>
      <c r="V130" s="1"/>
      <c r="W130" s="1"/>
    </row>
    <row r="131" spans="1:23" x14ac:dyDescent="0.3">
      <c r="A131" s="10">
        <v>45870</v>
      </c>
      <c r="B131" s="26">
        <v>191</v>
      </c>
      <c r="C131" s="26">
        <v>146</v>
      </c>
      <c r="D131" s="26">
        <v>130.22</v>
      </c>
      <c r="E131" s="26">
        <v>122.53</v>
      </c>
      <c r="F131" s="26">
        <v>15.33</v>
      </c>
      <c r="G131" s="26">
        <v>53.62</v>
      </c>
      <c r="H131" s="26">
        <v>7.65</v>
      </c>
      <c r="I131" s="26">
        <v>0</v>
      </c>
      <c r="J131" s="26">
        <v>7.65</v>
      </c>
      <c r="K131" s="26">
        <v>0</v>
      </c>
      <c r="L131" s="1">
        <f>VLOOKUP(Table3[[#This Row],[Date]],SW_LU[],3,TRUE)</f>
        <v>81</v>
      </c>
      <c r="M131" s="10"/>
      <c r="N131" s="1"/>
      <c r="O131" s="1"/>
      <c r="P131" s="1"/>
      <c r="Q131" s="1"/>
      <c r="R131" s="1"/>
      <c r="S131" s="1"/>
      <c r="T131" s="1"/>
      <c r="U131" s="1"/>
      <c r="V131" s="1"/>
      <c r="W131" s="1"/>
    </row>
    <row r="132" spans="1:23" x14ac:dyDescent="0.3">
      <c r="A132" s="10">
        <v>45871</v>
      </c>
      <c r="B132" s="26">
        <v>207</v>
      </c>
      <c r="C132" s="26">
        <v>157</v>
      </c>
      <c r="D132" s="26">
        <v>140.65</v>
      </c>
      <c r="E132" s="26">
        <v>132.35</v>
      </c>
      <c r="F132" s="26">
        <v>16.559999999999999</v>
      </c>
      <c r="G132" s="26">
        <v>57.91</v>
      </c>
      <c r="H132" s="26">
        <v>8.26</v>
      </c>
      <c r="I132" s="26">
        <v>0</v>
      </c>
      <c r="J132" s="26">
        <v>8.26</v>
      </c>
      <c r="K132" s="26">
        <v>0</v>
      </c>
      <c r="L132" s="1">
        <f>VLOOKUP(Table3[[#This Row],[Date]],SW_LU[],3,TRUE)</f>
        <v>81</v>
      </c>
      <c r="M132" s="10"/>
      <c r="N132" s="1"/>
      <c r="O132" s="1"/>
      <c r="P132" s="1"/>
      <c r="Q132" s="1"/>
      <c r="R132" s="1"/>
      <c r="S132" s="1"/>
      <c r="T132" s="1"/>
      <c r="U132" s="1"/>
      <c r="V132" s="1"/>
      <c r="W132" s="1"/>
    </row>
    <row r="133" spans="1:23" x14ac:dyDescent="0.3">
      <c r="A133" s="10">
        <v>45872</v>
      </c>
      <c r="B133" s="26">
        <v>383</v>
      </c>
      <c r="C133" s="26">
        <v>291</v>
      </c>
      <c r="D133" s="26">
        <v>260.43</v>
      </c>
      <c r="E133" s="26">
        <v>245.07</v>
      </c>
      <c r="F133" s="26">
        <v>30.67</v>
      </c>
      <c r="G133" s="26">
        <v>107.23</v>
      </c>
      <c r="H133" s="26">
        <v>15.3</v>
      </c>
      <c r="I133" s="26">
        <v>0</v>
      </c>
      <c r="J133" s="26">
        <v>15.3</v>
      </c>
      <c r="K133" s="26">
        <v>0</v>
      </c>
      <c r="L133" s="1">
        <f>VLOOKUP(Table3[[#This Row],[Date]],SW_LU[],3,TRUE)</f>
        <v>81</v>
      </c>
      <c r="M133" s="10"/>
      <c r="N133" s="1"/>
      <c r="O133" s="1"/>
      <c r="P133" s="1"/>
      <c r="Q133" s="1"/>
      <c r="R133" s="1"/>
      <c r="S133" s="1"/>
      <c r="T133" s="1"/>
      <c r="U133" s="1"/>
      <c r="V133" s="1"/>
      <c r="W133" s="1"/>
    </row>
    <row r="134" spans="1:23" x14ac:dyDescent="0.3">
      <c r="A134" s="10">
        <v>45873</v>
      </c>
      <c r="B134" s="26">
        <v>176</v>
      </c>
      <c r="C134" s="26">
        <v>133</v>
      </c>
      <c r="D134" s="26">
        <v>119.4</v>
      </c>
      <c r="E134" s="26">
        <v>112.35</v>
      </c>
      <c r="F134" s="26">
        <v>14.06</v>
      </c>
      <c r="G134" s="26">
        <v>49.16</v>
      </c>
      <c r="H134" s="26">
        <v>7.01</v>
      </c>
      <c r="I134" s="26">
        <v>0</v>
      </c>
      <c r="J134" s="26">
        <v>7.01</v>
      </c>
      <c r="K134" s="26">
        <v>0</v>
      </c>
      <c r="L134" s="1">
        <f>VLOOKUP(Table3[[#This Row],[Date]],SW_LU[],3,TRUE)</f>
        <v>81</v>
      </c>
      <c r="M134" s="10"/>
      <c r="N134" s="1"/>
      <c r="O134" s="1"/>
      <c r="P134" s="1"/>
      <c r="Q134" s="1"/>
      <c r="R134" s="1"/>
      <c r="S134" s="1"/>
      <c r="T134" s="1"/>
      <c r="U134" s="1"/>
      <c r="V134" s="1"/>
      <c r="W134" s="1"/>
    </row>
    <row r="135" spans="1:23" x14ac:dyDescent="0.3">
      <c r="A135" s="10">
        <v>45874</v>
      </c>
      <c r="B135" s="26">
        <v>193</v>
      </c>
      <c r="C135" s="26">
        <v>146</v>
      </c>
      <c r="D135" s="26">
        <v>130.99</v>
      </c>
      <c r="E135" s="26">
        <v>123.26</v>
      </c>
      <c r="F135" s="26">
        <v>15.42</v>
      </c>
      <c r="G135" s="26">
        <v>53.93</v>
      </c>
      <c r="H135" s="26">
        <v>7.7</v>
      </c>
      <c r="I135" s="26">
        <v>0</v>
      </c>
      <c r="J135" s="26">
        <v>7.7</v>
      </c>
      <c r="K135" s="26">
        <v>0</v>
      </c>
      <c r="L135" s="1">
        <f>VLOOKUP(Table3[[#This Row],[Date]],SW_LU[],3,TRUE)</f>
        <v>81</v>
      </c>
      <c r="M135" s="10"/>
      <c r="N135" s="1"/>
      <c r="O135" s="1"/>
      <c r="P135" s="1"/>
      <c r="Q135" s="1"/>
      <c r="R135" s="1"/>
      <c r="S135" s="1"/>
      <c r="T135" s="1"/>
      <c r="U135" s="1"/>
      <c r="V135" s="1"/>
      <c r="W135" s="1"/>
    </row>
    <row r="136" spans="1:23" x14ac:dyDescent="0.3">
      <c r="A136" s="10">
        <v>45875</v>
      </c>
      <c r="B136" s="26">
        <v>921</v>
      </c>
      <c r="C136" s="26">
        <v>701</v>
      </c>
      <c r="D136" s="26">
        <v>626.74</v>
      </c>
      <c r="E136" s="26">
        <v>589.76</v>
      </c>
      <c r="F136" s="26">
        <v>73.8</v>
      </c>
      <c r="G136" s="26">
        <v>258.06</v>
      </c>
      <c r="H136" s="26">
        <v>36.82</v>
      </c>
      <c r="I136" s="26">
        <v>0</v>
      </c>
      <c r="J136" s="26">
        <v>36.82</v>
      </c>
      <c r="K136" s="26">
        <v>0</v>
      </c>
      <c r="L136" s="1">
        <f>VLOOKUP(Table3[[#This Row],[Date]],SW_LU[],3,TRUE)</f>
        <v>81</v>
      </c>
      <c r="M136" s="10"/>
      <c r="N136" s="1"/>
      <c r="O136" s="1"/>
      <c r="P136" s="1"/>
      <c r="Q136" s="1"/>
      <c r="R136" s="1"/>
      <c r="S136" s="1"/>
      <c r="T136" s="1"/>
      <c r="U136" s="1"/>
      <c r="V136" s="1"/>
      <c r="W136" s="1"/>
    </row>
    <row r="137" spans="1:23" x14ac:dyDescent="0.3">
      <c r="A137" s="10">
        <v>45876</v>
      </c>
      <c r="B137" s="26">
        <v>761</v>
      </c>
      <c r="C137" s="26">
        <v>578</v>
      </c>
      <c r="D137" s="26">
        <v>517.39</v>
      </c>
      <c r="E137" s="26">
        <v>486.86</v>
      </c>
      <c r="F137" s="26">
        <v>60.92</v>
      </c>
      <c r="G137" s="26">
        <v>213.03</v>
      </c>
      <c r="H137" s="26">
        <v>30.4</v>
      </c>
      <c r="I137" s="26">
        <v>0</v>
      </c>
      <c r="J137" s="26">
        <v>30.4</v>
      </c>
      <c r="K137" s="26">
        <v>0</v>
      </c>
      <c r="L137" s="1">
        <f>VLOOKUP(Table3[[#This Row],[Date]],SW_LU[],3,TRUE)</f>
        <v>82</v>
      </c>
      <c r="M137" s="10"/>
      <c r="N137" s="1"/>
      <c r="O137" s="1"/>
      <c r="P137" s="1"/>
      <c r="Q137" s="1"/>
      <c r="R137" s="1"/>
      <c r="S137" s="1"/>
      <c r="T137" s="1"/>
      <c r="U137" s="1"/>
      <c r="V137" s="1"/>
      <c r="W137" s="1"/>
    </row>
    <row r="138" spans="1:23" x14ac:dyDescent="0.3">
      <c r="A138" s="10">
        <v>45877</v>
      </c>
      <c r="B138" s="26">
        <v>485</v>
      </c>
      <c r="C138" s="26">
        <v>369</v>
      </c>
      <c r="D138" s="26">
        <v>329.99</v>
      </c>
      <c r="E138" s="26">
        <v>310.51</v>
      </c>
      <c r="F138" s="26">
        <v>38.86</v>
      </c>
      <c r="G138" s="26">
        <v>135.87</v>
      </c>
      <c r="H138" s="26">
        <v>19.39</v>
      </c>
      <c r="I138" s="26">
        <v>0</v>
      </c>
      <c r="J138" s="26">
        <v>19.39</v>
      </c>
      <c r="K138" s="26">
        <v>0</v>
      </c>
      <c r="L138" s="1">
        <f>VLOOKUP(Table3[[#This Row],[Date]],SW_LU[],3,TRUE)</f>
        <v>82</v>
      </c>
      <c r="M138" s="10"/>
      <c r="N138" s="1"/>
      <c r="O138" s="1"/>
      <c r="P138" s="1"/>
      <c r="Q138" s="1"/>
      <c r="R138" s="1"/>
      <c r="S138" s="1"/>
      <c r="T138" s="1"/>
      <c r="U138" s="1"/>
      <c r="V138" s="1"/>
      <c r="W138" s="1"/>
    </row>
    <row r="139" spans="1:23" x14ac:dyDescent="0.3">
      <c r="A139" s="10">
        <v>45878</v>
      </c>
      <c r="B139" s="26">
        <v>261</v>
      </c>
      <c r="C139" s="26">
        <v>199</v>
      </c>
      <c r="D139" s="26">
        <v>177.74</v>
      </c>
      <c r="E139" s="26">
        <v>167.26</v>
      </c>
      <c r="F139" s="26">
        <v>20.93</v>
      </c>
      <c r="G139" s="26">
        <v>73.19</v>
      </c>
      <c r="H139" s="26">
        <v>10.44</v>
      </c>
      <c r="I139" s="26">
        <v>0</v>
      </c>
      <c r="J139" s="26">
        <v>10.44</v>
      </c>
      <c r="K139" s="26">
        <v>0</v>
      </c>
      <c r="L139" s="1">
        <f>VLOOKUP(Table3[[#This Row],[Date]],SW_LU[],3,TRUE)</f>
        <v>82</v>
      </c>
      <c r="M139" s="10"/>
      <c r="N139" s="1"/>
      <c r="O139" s="1"/>
      <c r="P139" s="1"/>
      <c r="Q139" s="1"/>
      <c r="R139" s="1"/>
      <c r="S139" s="1"/>
      <c r="T139" s="1"/>
      <c r="U139" s="1"/>
      <c r="V139" s="1"/>
      <c r="W139" s="1"/>
    </row>
    <row r="140" spans="1:23" x14ac:dyDescent="0.3">
      <c r="A140" s="10">
        <v>45879</v>
      </c>
      <c r="B140" s="26">
        <v>280</v>
      </c>
      <c r="C140" s="26">
        <v>213</v>
      </c>
      <c r="D140" s="26">
        <v>190.5</v>
      </c>
      <c r="E140" s="26">
        <v>179.25</v>
      </c>
      <c r="F140" s="26">
        <v>22.43</v>
      </c>
      <c r="G140" s="26">
        <v>78.44</v>
      </c>
      <c r="H140" s="26">
        <v>11.19</v>
      </c>
      <c r="I140" s="26">
        <v>0</v>
      </c>
      <c r="J140" s="26">
        <v>11.19</v>
      </c>
      <c r="K140" s="26">
        <v>0</v>
      </c>
      <c r="L140" s="1">
        <f>VLOOKUP(Table3[[#This Row],[Date]],SW_LU[],3,TRUE)</f>
        <v>82</v>
      </c>
      <c r="M140" s="10"/>
      <c r="N140" s="1"/>
      <c r="O140" s="1"/>
      <c r="P140" s="1"/>
      <c r="Q140" s="1"/>
      <c r="R140" s="1"/>
      <c r="S140" s="1"/>
      <c r="T140" s="1"/>
      <c r="U140" s="1"/>
      <c r="V140" s="1"/>
      <c r="W140" s="1"/>
    </row>
    <row r="141" spans="1:23" x14ac:dyDescent="0.3">
      <c r="A141" s="10">
        <v>45880</v>
      </c>
      <c r="B141" s="26">
        <v>256</v>
      </c>
      <c r="C141" s="26">
        <v>195</v>
      </c>
      <c r="D141" s="26">
        <v>174.27</v>
      </c>
      <c r="E141" s="26">
        <v>163.98</v>
      </c>
      <c r="F141" s="26">
        <v>20.52</v>
      </c>
      <c r="G141" s="26">
        <v>71.75</v>
      </c>
      <c r="H141" s="26">
        <v>10.24</v>
      </c>
      <c r="I141" s="26">
        <v>0</v>
      </c>
      <c r="J141" s="26">
        <v>10.24</v>
      </c>
      <c r="K141" s="26">
        <v>0</v>
      </c>
      <c r="L141" s="1">
        <f>VLOOKUP(Table3[[#This Row],[Date]],SW_LU[],3,TRUE)</f>
        <v>82</v>
      </c>
      <c r="M141" s="10"/>
      <c r="N141" s="1"/>
      <c r="O141" s="1"/>
      <c r="P141" s="1"/>
      <c r="Q141" s="1"/>
      <c r="R141" s="1"/>
      <c r="S141" s="1"/>
      <c r="T141" s="1"/>
      <c r="U141" s="1"/>
      <c r="V141" s="1"/>
      <c r="W141" s="1"/>
    </row>
    <row r="142" spans="1:23" x14ac:dyDescent="0.3">
      <c r="A142" s="10">
        <v>45881</v>
      </c>
      <c r="B142" s="26">
        <v>82</v>
      </c>
      <c r="C142" s="26">
        <v>63</v>
      </c>
      <c r="D142" s="26">
        <v>56.03</v>
      </c>
      <c r="E142" s="26">
        <v>52.72</v>
      </c>
      <c r="F142" s="26">
        <v>6.6</v>
      </c>
      <c r="G142" s="26">
        <v>23.07</v>
      </c>
      <c r="H142" s="26">
        <v>3.29</v>
      </c>
      <c r="I142" s="26">
        <v>0</v>
      </c>
      <c r="J142" s="26">
        <v>3.29</v>
      </c>
      <c r="K142" s="26">
        <v>0</v>
      </c>
      <c r="L142" s="1">
        <f>VLOOKUP(Table3[[#This Row],[Date]],SW_LU[],3,TRUE)</f>
        <v>82</v>
      </c>
      <c r="M142" s="10"/>
      <c r="N142" s="1"/>
      <c r="O142" s="1"/>
      <c r="P142" s="1"/>
      <c r="Q142" s="1"/>
      <c r="R142" s="1"/>
      <c r="S142" s="1"/>
      <c r="T142" s="1"/>
      <c r="U142" s="1"/>
      <c r="V142" s="1"/>
      <c r="W142" s="1"/>
    </row>
    <row r="143" spans="1:23" x14ac:dyDescent="0.3">
      <c r="A143" s="10">
        <v>45882</v>
      </c>
      <c r="B143" s="26">
        <v>53</v>
      </c>
      <c r="C143" s="26">
        <v>41</v>
      </c>
      <c r="D143" s="26">
        <v>36.32</v>
      </c>
      <c r="E143" s="26">
        <v>34.18</v>
      </c>
      <c r="F143" s="26">
        <v>4.28</v>
      </c>
      <c r="G143" s="26">
        <v>14.96</v>
      </c>
      <c r="H143" s="26">
        <v>2.13</v>
      </c>
      <c r="I143" s="26">
        <v>0</v>
      </c>
      <c r="J143" s="26">
        <v>2.13</v>
      </c>
      <c r="K143" s="26">
        <v>0</v>
      </c>
      <c r="L143" s="1">
        <f>VLOOKUP(Table3[[#This Row],[Date]],SW_LU[],3,TRUE)</f>
        <v>82</v>
      </c>
      <c r="M143" s="10"/>
      <c r="N143" s="1"/>
      <c r="O143" s="1"/>
      <c r="P143" s="1"/>
      <c r="Q143" s="1"/>
      <c r="R143" s="1"/>
      <c r="S143" s="1"/>
      <c r="T143" s="1"/>
      <c r="U143" s="1"/>
      <c r="V143" s="1"/>
      <c r="W143" s="1"/>
    </row>
    <row r="144" spans="1:23" x14ac:dyDescent="0.3">
      <c r="A144" s="10">
        <v>45883</v>
      </c>
      <c r="B144" s="26">
        <v>49</v>
      </c>
      <c r="C144" s="26">
        <v>38</v>
      </c>
      <c r="D144" s="26">
        <v>33.619999999999997</v>
      </c>
      <c r="E144" s="26">
        <v>31.63</v>
      </c>
      <c r="F144" s="26">
        <v>3.96</v>
      </c>
      <c r="G144" s="26">
        <v>13.84</v>
      </c>
      <c r="H144" s="26">
        <v>1.97</v>
      </c>
      <c r="I144" s="26">
        <v>0</v>
      </c>
      <c r="J144" s="26">
        <v>1.97</v>
      </c>
      <c r="K144" s="26">
        <v>0</v>
      </c>
      <c r="L144" s="1">
        <f>VLOOKUP(Table3[[#This Row],[Date]],SW_LU[],3,TRUE)</f>
        <v>83</v>
      </c>
      <c r="M144" s="10"/>
      <c r="N144" s="1"/>
      <c r="O144" s="1"/>
      <c r="P144" s="1"/>
      <c r="Q144" s="1"/>
      <c r="R144" s="1"/>
      <c r="S144" s="1"/>
      <c r="T144" s="1"/>
      <c r="U144" s="1"/>
      <c r="V144" s="1"/>
      <c r="W144" s="1"/>
    </row>
    <row r="145" spans="1:23" x14ac:dyDescent="0.3">
      <c r="A145" s="10">
        <v>45884</v>
      </c>
      <c r="B145" s="26">
        <v>22</v>
      </c>
      <c r="C145" s="26">
        <v>16</v>
      </c>
      <c r="D145" s="26">
        <v>14.68</v>
      </c>
      <c r="E145" s="26">
        <v>13.82</v>
      </c>
      <c r="F145" s="26">
        <v>1.73</v>
      </c>
      <c r="G145" s="26">
        <v>6.05</v>
      </c>
      <c r="H145" s="26">
        <v>0.86</v>
      </c>
      <c r="I145" s="26">
        <v>0</v>
      </c>
      <c r="J145" s="26">
        <v>0.86</v>
      </c>
      <c r="K145" s="26">
        <v>0</v>
      </c>
      <c r="L145" s="1">
        <f>VLOOKUP(Table3[[#This Row],[Date]],SW_LU[],3,TRUE)</f>
        <v>83</v>
      </c>
      <c r="M145" s="10"/>
      <c r="N145" s="1"/>
      <c r="O145" s="1"/>
      <c r="P145" s="1"/>
      <c r="Q145" s="1"/>
      <c r="R145" s="1"/>
      <c r="S145" s="1"/>
      <c r="T145" s="1"/>
      <c r="U145" s="1"/>
      <c r="V145" s="1"/>
      <c r="W145" s="1"/>
    </row>
    <row r="146" spans="1:23" x14ac:dyDescent="0.3">
      <c r="A146" s="10">
        <v>45885</v>
      </c>
      <c r="B146" s="26">
        <v>186</v>
      </c>
      <c r="C146" s="26">
        <v>142</v>
      </c>
      <c r="D146" s="26">
        <v>126.74</v>
      </c>
      <c r="E146" s="26">
        <v>119.26</v>
      </c>
      <c r="F146" s="26">
        <v>14.92</v>
      </c>
      <c r="G146" s="26">
        <v>52.18</v>
      </c>
      <c r="H146" s="26">
        <v>7.45</v>
      </c>
      <c r="I146" s="26">
        <v>0</v>
      </c>
      <c r="J146" s="26">
        <v>7.45</v>
      </c>
      <c r="K146" s="26">
        <v>0</v>
      </c>
      <c r="L146" s="1">
        <f>VLOOKUP(Table3[[#This Row],[Date]],SW_LU[],3,TRUE)</f>
        <v>83</v>
      </c>
      <c r="M146" s="10"/>
      <c r="N146" s="1"/>
      <c r="O146" s="1"/>
      <c r="P146" s="1"/>
      <c r="Q146" s="1"/>
      <c r="R146" s="1"/>
      <c r="S146" s="1"/>
      <c r="T146" s="1"/>
      <c r="U146" s="1"/>
      <c r="V146" s="1"/>
      <c r="W146" s="1"/>
    </row>
    <row r="147" spans="1:23" x14ac:dyDescent="0.3">
      <c r="A147" s="10">
        <v>45886</v>
      </c>
      <c r="B147" s="26">
        <v>148</v>
      </c>
      <c r="C147" s="26">
        <v>112</v>
      </c>
      <c r="D147" s="26">
        <v>100.46</v>
      </c>
      <c r="E147" s="26">
        <v>94.54</v>
      </c>
      <c r="F147" s="26">
        <v>11.83</v>
      </c>
      <c r="G147" s="26">
        <v>41.37</v>
      </c>
      <c r="H147" s="26">
        <v>5.9</v>
      </c>
      <c r="I147" s="26">
        <v>0</v>
      </c>
      <c r="J147" s="26">
        <v>5.9</v>
      </c>
      <c r="K147" s="26">
        <v>0</v>
      </c>
      <c r="L147" s="1">
        <f>VLOOKUP(Table3[[#This Row],[Date]],SW_LU[],3,TRUE)</f>
        <v>83</v>
      </c>
      <c r="M147" s="1"/>
      <c r="N147" s="15"/>
      <c r="O147" s="15"/>
      <c r="P147" s="16"/>
      <c r="Q147" s="16"/>
      <c r="R147" s="16"/>
      <c r="S147" s="16"/>
      <c r="T147" s="16"/>
      <c r="U147" s="1"/>
      <c r="V147" s="16"/>
      <c r="W147" s="1"/>
    </row>
    <row r="148" spans="1:23" x14ac:dyDescent="0.3">
      <c r="A148" s="10">
        <v>45887</v>
      </c>
      <c r="B148" s="26">
        <v>254</v>
      </c>
      <c r="C148" s="26">
        <v>193</v>
      </c>
      <c r="D148" s="26">
        <v>172.72</v>
      </c>
      <c r="E148" s="26">
        <v>162.53</v>
      </c>
      <c r="F148" s="26">
        <v>20.34</v>
      </c>
      <c r="G148" s="26">
        <v>71.12</v>
      </c>
      <c r="H148" s="26">
        <v>10.15</v>
      </c>
      <c r="I148" s="26">
        <v>0</v>
      </c>
      <c r="J148" s="26">
        <v>10.15</v>
      </c>
      <c r="K148" s="26">
        <v>0</v>
      </c>
      <c r="L148" s="1">
        <f>VLOOKUP(Table3[[#This Row],[Date]],SW_LU[],3,TRUE)</f>
        <v>83</v>
      </c>
      <c r="M148" s="1"/>
      <c r="N148" s="1"/>
    </row>
    <row r="149" spans="1:23" x14ac:dyDescent="0.3">
      <c r="A149" s="10">
        <v>45888</v>
      </c>
      <c r="B149" s="26">
        <v>101</v>
      </c>
      <c r="C149" s="26">
        <v>77</v>
      </c>
      <c r="D149" s="26">
        <v>68.78</v>
      </c>
      <c r="E149" s="26">
        <v>64.72</v>
      </c>
      <c r="F149" s="26">
        <v>8.1</v>
      </c>
      <c r="G149" s="26">
        <v>28.32</v>
      </c>
      <c r="H149" s="26">
        <v>4.04</v>
      </c>
      <c r="I149" s="26">
        <v>0</v>
      </c>
      <c r="J149" s="26">
        <v>4.04</v>
      </c>
      <c r="K149" s="26">
        <v>0</v>
      </c>
      <c r="L149" s="1">
        <f>VLOOKUP(Table3[[#This Row],[Date]],SW_LU[],3,TRUE)</f>
        <v>83</v>
      </c>
      <c r="M149" s="1"/>
      <c r="N149" s="1"/>
    </row>
    <row r="150" spans="1:23" x14ac:dyDescent="0.3">
      <c r="A150" s="10">
        <v>45889</v>
      </c>
      <c r="B150" s="26">
        <v>210</v>
      </c>
      <c r="C150" s="26">
        <v>160</v>
      </c>
      <c r="D150" s="26">
        <v>142.97</v>
      </c>
      <c r="E150" s="26">
        <v>134.53</v>
      </c>
      <c r="F150" s="26">
        <v>16.84</v>
      </c>
      <c r="G150" s="26">
        <v>58.87</v>
      </c>
      <c r="H150" s="26">
        <v>8.4</v>
      </c>
      <c r="I150" s="26">
        <v>0</v>
      </c>
      <c r="J150" s="26">
        <v>8.4</v>
      </c>
      <c r="K150" s="26">
        <v>0</v>
      </c>
      <c r="L150" s="1">
        <f>VLOOKUP(Table3[[#This Row],[Date]],SW_LU[],3,TRUE)</f>
        <v>83</v>
      </c>
      <c r="M150" s="1"/>
      <c r="N150" s="1"/>
    </row>
    <row r="151" spans="1:23" x14ac:dyDescent="0.3">
      <c r="A151" s="10">
        <v>45890</v>
      </c>
      <c r="B151" s="26">
        <v>270</v>
      </c>
      <c r="C151" s="26">
        <v>206</v>
      </c>
      <c r="D151" s="26">
        <v>183.93</v>
      </c>
      <c r="E151" s="26">
        <v>173.07</v>
      </c>
      <c r="F151" s="26">
        <v>21.66</v>
      </c>
      <c r="G151" s="26">
        <v>75.73</v>
      </c>
      <c r="H151" s="26">
        <v>10.81</v>
      </c>
      <c r="I151" s="26">
        <v>0</v>
      </c>
      <c r="J151" s="26">
        <v>10.81</v>
      </c>
      <c r="K151" s="26">
        <v>0</v>
      </c>
      <c r="L151" s="1">
        <f>VLOOKUP(Table3[[#This Row],[Date]],SW_LU[],3,TRUE)</f>
        <v>84</v>
      </c>
      <c r="M151" s="1"/>
      <c r="N151" s="1"/>
    </row>
    <row r="152" spans="1:23" x14ac:dyDescent="0.3">
      <c r="A152" s="10">
        <v>45891</v>
      </c>
      <c r="B152" s="26">
        <v>233</v>
      </c>
      <c r="C152" s="26">
        <v>177</v>
      </c>
      <c r="D152" s="26">
        <v>158.41999999999999</v>
      </c>
      <c r="E152" s="26">
        <v>149.08000000000001</v>
      </c>
      <c r="F152" s="26">
        <v>18.66</v>
      </c>
      <c r="G152" s="26">
        <v>65.23</v>
      </c>
      <c r="H152" s="26">
        <v>9.31</v>
      </c>
      <c r="I152" s="26">
        <v>0</v>
      </c>
      <c r="J152" s="26">
        <v>9.31</v>
      </c>
      <c r="K152" s="26">
        <v>0</v>
      </c>
      <c r="L152" s="1">
        <f>VLOOKUP(Table3[[#This Row],[Date]],SW_LU[],3,TRUE)</f>
        <v>84</v>
      </c>
      <c r="M152" s="1"/>
      <c r="N152" s="1"/>
    </row>
    <row r="153" spans="1:23" x14ac:dyDescent="0.3">
      <c r="A153" s="10">
        <v>45892</v>
      </c>
      <c r="B153" s="26">
        <v>209</v>
      </c>
      <c r="C153" s="26">
        <v>159</v>
      </c>
      <c r="D153" s="26">
        <v>142.19999999999999</v>
      </c>
      <c r="E153" s="26">
        <v>133.80000000000001</v>
      </c>
      <c r="F153" s="26">
        <v>16.739999999999998</v>
      </c>
      <c r="G153" s="26">
        <v>58.55</v>
      </c>
      <c r="H153" s="26">
        <v>8.35</v>
      </c>
      <c r="I153" s="26">
        <v>0</v>
      </c>
      <c r="J153" s="26">
        <v>8.35</v>
      </c>
      <c r="K153" s="26">
        <v>0</v>
      </c>
      <c r="L153" s="1">
        <f>VLOOKUP(Table3[[#This Row],[Date]],SW_LU[],3,TRUE)</f>
        <v>84</v>
      </c>
      <c r="M153" s="1"/>
      <c r="N153" s="1"/>
    </row>
    <row r="154" spans="1:23" x14ac:dyDescent="0.3">
      <c r="A154" s="10">
        <v>45893</v>
      </c>
      <c r="B154" s="26">
        <v>234</v>
      </c>
      <c r="C154" s="26">
        <v>178</v>
      </c>
      <c r="D154" s="26">
        <v>159.19999999999999</v>
      </c>
      <c r="E154" s="26">
        <v>149.80000000000001</v>
      </c>
      <c r="F154" s="26">
        <v>18.75</v>
      </c>
      <c r="G154" s="26">
        <v>65.55</v>
      </c>
      <c r="H154" s="26">
        <v>9.35</v>
      </c>
      <c r="I154" s="26">
        <v>0</v>
      </c>
      <c r="J154" s="26">
        <v>9.35</v>
      </c>
      <c r="K154" s="26">
        <v>0</v>
      </c>
      <c r="L154" s="1">
        <f>VLOOKUP(Table3[[#This Row],[Date]],SW_LU[],3,TRUE)</f>
        <v>84</v>
      </c>
      <c r="M154" s="1"/>
      <c r="N154" s="1"/>
    </row>
    <row r="155" spans="1:23" x14ac:dyDescent="0.3">
      <c r="A155" s="10">
        <v>45894</v>
      </c>
      <c r="B155" s="26">
        <v>151</v>
      </c>
      <c r="C155" s="26">
        <v>114</v>
      </c>
      <c r="D155" s="26">
        <v>102.4</v>
      </c>
      <c r="E155" s="26">
        <v>96.35</v>
      </c>
      <c r="F155" s="26">
        <v>12.06</v>
      </c>
      <c r="G155" s="26">
        <v>42.16</v>
      </c>
      <c r="H155" s="26">
        <v>6.02</v>
      </c>
      <c r="I155" s="26">
        <v>0</v>
      </c>
      <c r="J155" s="26">
        <v>6.02</v>
      </c>
      <c r="K155" s="26">
        <v>0</v>
      </c>
      <c r="L155" s="1">
        <f>VLOOKUP(Table3[[#This Row],[Date]],SW_LU[],3,TRUE)</f>
        <v>84</v>
      </c>
      <c r="M155" s="1"/>
      <c r="N155" s="1"/>
    </row>
    <row r="156" spans="1:23" x14ac:dyDescent="0.3">
      <c r="A156" s="10">
        <v>45895</v>
      </c>
      <c r="B156" s="26">
        <v>73</v>
      </c>
      <c r="C156" s="26">
        <v>55</v>
      </c>
      <c r="D156" s="26">
        <v>49.46</v>
      </c>
      <c r="E156" s="26">
        <v>46.54</v>
      </c>
      <c r="F156" s="26">
        <v>5.82</v>
      </c>
      <c r="G156" s="26">
        <v>20.36</v>
      </c>
      <c r="H156" s="26">
        <v>2.91</v>
      </c>
      <c r="I156" s="26">
        <v>0</v>
      </c>
      <c r="J156" s="26">
        <v>2.91</v>
      </c>
      <c r="K156" s="26">
        <v>0</v>
      </c>
      <c r="L156" s="1">
        <f>VLOOKUP(Table3[[#This Row],[Date]],SW_LU[],3,TRUE)</f>
        <v>84</v>
      </c>
      <c r="M156" s="1"/>
      <c r="N156" s="1"/>
    </row>
    <row r="157" spans="1:23" x14ac:dyDescent="0.3">
      <c r="A157" s="10">
        <v>45896</v>
      </c>
      <c r="B157" s="26">
        <v>40</v>
      </c>
      <c r="C157" s="26">
        <v>30</v>
      </c>
      <c r="D157" s="26">
        <v>27.05</v>
      </c>
      <c r="E157" s="26">
        <v>25.45</v>
      </c>
      <c r="F157" s="26">
        <v>3.19</v>
      </c>
      <c r="G157" s="26">
        <v>11.14</v>
      </c>
      <c r="H157" s="26">
        <v>1.59</v>
      </c>
      <c r="I157" s="26">
        <v>0</v>
      </c>
      <c r="J157" s="26">
        <v>1.59</v>
      </c>
      <c r="K157" s="26">
        <v>0</v>
      </c>
      <c r="L157" s="1">
        <f>VLOOKUP(Table3[[#This Row],[Date]],SW_LU[],3,TRUE)</f>
        <v>84</v>
      </c>
      <c r="M157" s="1"/>
      <c r="N157" s="1"/>
    </row>
    <row r="158" spans="1:23" x14ac:dyDescent="0.3">
      <c r="A158" s="10">
        <v>45897</v>
      </c>
      <c r="B158" s="26">
        <v>16</v>
      </c>
      <c r="C158" s="26">
        <v>12</v>
      </c>
      <c r="D158" s="26">
        <v>10.82</v>
      </c>
      <c r="E158" s="26">
        <v>10.18</v>
      </c>
      <c r="F158" s="26">
        <v>1.27</v>
      </c>
      <c r="G158" s="26">
        <v>4.45</v>
      </c>
      <c r="H158" s="26">
        <v>0.64</v>
      </c>
      <c r="I158" s="26">
        <v>0</v>
      </c>
      <c r="J158" s="26">
        <v>0.64</v>
      </c>
      <c r="K158" s="26">
        <v>0</v>
      </c>
      <c r="L158" s="1">
        <f>VLOOKUP(Table3[[#This Row],[Date]],SW_LU[],3,TRUE)</f>
        <v>91</v>
      </c>
      <c r="M158" s="1"/>
      <c r="N158" s="1"/>
    </row>
    <row r="159" spans="1:23" x14ac:dyDescent="0.3">
      <c r="A159" s="10">
        <v>45898</v>
      </c>
      <c r="B159" s="26">
        <v>24</v>
      </c>
      <c r="C159" s="26">
        <v>19</v>
      </c>
      <c r="D159" s="26">
        <v>16.62</v>
      </c>
      <c r="E159" s="26">
        <v>15.63</v>
      </c>
      <c r="F159" s="26">
        <v>1.96</v>
      </c>
      <c r="G159" s="26">
        <v>6.84</v>
      </c>
      <c r="H159" s="26">
        <v>0.98</v>
      </c>
      <c r="I159" s="26">
        <v>0</v>
      </c>
      <c r="J159" s="26">
        <v>0.98</v>
      </c>
      <c r="K159" s="26">
        <v>0</v>
      </c>
      <c r="L159" s="1">
        <f>VLOOKUP(Table3[[#This Row],[Date]],SW_LU[],3,TRUE)</f>
        <v>91</v>
      </c>
      <c r="M159" s="1"/>
      <c r="N159" s="1"/>
    </row>
    <row r="160" spans="1:23" x14ac:dyDescent="0.3">
      <c r="A160" s="10">
        <v>45899</v>
      </c>
      <c r="B160" s="26">
        <v>31</v>
      </c>
      <c r="C160" s="26">
        <v>23</v>
      </c>
      <c r="D160" s="26">
        <v>20.87</v>
      </c>
      <c r="E160" s="26">
        <v>19.63</v>
      </c>
      <c r="F160" s="26">
        <v>2.46</v>
      </c>
      <c r="G160" s="26">
        <v>8.59</v>
      </c>
      <c r="H160" s="26">
        <v>1.23</v>
      </c>
      <c r="I160" s="26">
        <v>0</v>
      </c>
      <c r="J160" s="26">
        <v>1.23</v>
      </c>
      <c r="K160" s="26">
        <v>0</v>
      </c>
      <c r="L160" s="1">
        <f>VLOOKUP(Table3[[#This Row],[Date]],SW_LU[],3,TRUE)</f>
        <v>91</v>
      </c>
      <c r="M160" s="1"/>
      <c r="N160" s="1"/>
    </row>
    <row r="161" spans="1:14" x14ac:dyDescent="0.3">
      <c r="A161" s="10">
        <v>45900</v>
      </c>
      <c r="B161" s="26">
        <v>16</v>
      </c>
      <c r="C161" s="26">
        <v>13</v>
      </c>
      <c r="D161" s="26">
        <v>11.21</v>
      </c>
      <c r="E161" s="26">
        <v>10.54</v>
      </c>
      <c r="F161" s="26">
        <v>1.32</v>
      </c>
      <c r="G161" s="26">
        <v>4.6100000000000003</v>
      </c>
      <c r="H161" s="26">
        <v>0.66</v>
      </c>
      <c r="I161" s="26">
        <v>0</v>
      </c>
      <c r="J161" s="26">
        <v>0.66</v>
      </c>
      <c r="K161" s="26">
        <v>0</v>
      </c>
      <c r="L161" s="1">
        <f>VLOOKUP(Table3[[#This Row],[Date]],SW_LU[],3,TRUE)</f>
        <v>91</v>
      </c>
      <c r="M161" s="1"/>
      <c r="N161" s="1"/>
    </row>
    <row r="162" spans="1:14" x14ac:dyDescent="0.3">
      <c r="A162" s="10">
        <v>45901</v>
      </c>
      <c r="B162" s="26">
        <v>20</v>
      </c>
      <c r="C162" s="26">
        <v>16</v>
      </c>
      <c r="D162" s="26">
        <v>13.91</v>
      </c>
      <c r="E162" s="26">
        <v>13.09</v>
      </c>
      <c r="F162" s="26">
        <v>1.64</v>
      </c>
      <c r="G162" s="26">
        <v>5.73</v>
      </c>
      <c r="H162" s="26">
        <v>0.82</v>
      </c>
      <c r="I162" s="26">
        <v>0</v>
      </c>
      <c r="J162" s="26">
        <v>0.82</v>
      </c>
      <c r="K162" s="26">
        <v>0</v>
      </c>
      <c r="L162" s="1">
        <f>VLOOKUP(Table3[[#This Row],[Date]],SW_LU[],3,TRUE)</f>
        <v>91</v>
      </c>
      <c r="M162" s="1"/>
      <c r="N162" s="1"/>
    </row>
    <row r="163" spans="1:14" x14ac:dyDescent="0.3">
      <c r="A163" s="10">
        <v>45902</v>
      </c>
      <c r="B163" s="26">
        <v>29</v>
      </c>
      <c r="C163" s="26">
        <v>22</v>
      </c>
      <c r="D163" s="26">
        <v>19.71</v>
      </c>
      <c r="E163" s="26">
        <v>18.54</v>
      </c>
      <c r="F163" s="26">
        <v>2.3199999999999998</v>
      </c>
      <c r="G163" s="26">
        <v>8.11</v>
      </c>
      <c r="H163" s="26">
        <v>1.1599999999999999</v>
      </c>
      <c r="I163" s="26">
        <v>0</v>
      </c>
      <c r="J163" s="26">
        <v>1.1599999999999999</v>
      </c>
      <c r="K163" s="26">
        <v>0</v>
      </c>
      <c r="L163" s="1">
        <f>VLOOKUP(Table3[[#This Row],[Date]],SW_LU[],3,TRUE)</f>
        <v>91</v>
      </c>
      <c r="M163" s="1"/>
      <c r="N163" s="1"/>
    </row>
    <row r="164" spans="1:14" x14ac:dyDescent="0.3">
      <c r="A164" s="10">
        <v>45903</v>
      </c>
      <c r="B164" s="26">
        <v>19</v>
      </c>
      <c r="C164" s="26">
        <v>14</v>
      </c>
      <c r="D164" s="26">
        <v>12.75</v>
      </c>
      <c r="E164" s="26">
        <v>12</v>
      </c>
      <c r="F164" s="26">
        <v>1.5</v>
      </c>
      <c r="G164" s="26">
        <v>5.25</v>
      </c>
      <c r="H164" s="26">
        <v>0.75</v>
      </c>
      <c r="I164" s="26">
        <v>0</v>
      </c>
      <c r="J164" s="26">
        <v>0.75</v>
      </c>
      <c r="K164" s="26">
        <v>0</v>
      </c>
      <c r="L164" s="1">
        <f>VLOOKUP(Table3[[#This Row],[Date]],SW_LU[],3,TRUE)</f>
        <v>91</v>
      </c>
      <c r="M164" s="1"/>
      <c r="N164" s="1"/>
    </row>
    <row r="165" spans="1:14" x14ac:dyDescent="0.3">
      <c r="A165" s="10">
        <v>45904</v>
      </c>
      <c r="B165" s="26">
        <v>13</v>
      </c>
      <c r="C165" s="26">
        <v>10</v>
      </c>
      <c r="D165" s="26">
        <v>8.89</v>
      </c>
      <c r="E165" s="26">
        <v>8.36</v>
      </c>
      <c r="F165" s="26">
        <v>1.05</v>
      </c>
      <c r="G165" s="26">
        <v>3.66</v>
      </c>
      <c r="H165" s="26">
        <v>0.52</v>
      </c>
      <c r="I165" s="26">
        <v>0</v>
      </c>
      <c r="J165" s="26">
        <v>0.52</v>
      </c>
      <c r="K165" s="26">
        <v>0</v>
      </c>
      <c r="L165" s="1">
        <f>VLOOKUP(Table3[[#This Row],[Date]],SW_LU[],3,TRUE)</f>
        <v>92</v>
      </c>
      <c r="M165" s="1"/>
      <c r="N165" s="1"/>
    </row>
    <row r="166" spans="1:14" x14ac:dyDescent="0.3">
      <c r="A166" s="10">
        <v>45905</v>
      </c>
      <c r="B166" s="26">
        <v>10</v>
      </c>
      <c r="C166" s="26">
        <v>8</v>
      </c>
      <c r="D166" s="26">
        <v>6.96</v>
      </c>
      <c r="E166" s="26">
        <v>6.54</v>
      </c>
      <c r="F166" s="26">
        <v>0.82</v>
      </c>
      <c r="G166" s="26">
        <v>2.86</v>
      </c>
      <c r="H166" s="26">
        <v>0.41</v>
      </c>
      <c r="I166" s="26">
        <v>0</v>
      </c>
      <c r="J166" s="26">
        <v>0.41</v>
      </c>
      <c r="K166" s="26">
        <v>0</v>
      </c>
      <c r="L166" s="1">
        <f>VLOOKUP(Table3[[#This Row],[Date]],SW_LU[],3,TRUE)</f>
        <v>92</v>
      </c>
      <c r="M166" s="1"/>
      <c r="N166" s="1"/>
    </row>
    <row r="167" spans="1:14" x14ac:dyDescent="0.3">
      <c r="A167" s="10">
        <v>45906</v>
      </c>
      <c r="B167" s="26">
        <v>7</v>
      </c>
      <c r="C167" s="26">
        <v>6</v>
      </c>
      <c r="D167" s="26">
        <v>5.0199999999999996</v>
      </c>
      <c r="E167" s="26">
        <v>4.7300000000000004</v>
      </c>
      <c r="F167" s="26">
        <v>0.59</v>
      </c>
      <c r="G167" s="26">
        <v>2.0699999999999998</v>
      </c>
      <c r="H167" s="26">
        <v>0.3</v>
      </c>
      <c r="I167" s="26">
        <v>0</v>
      </c>
      <c r="J167" s="26">
        <v>0.3</v>
      </c>
      <c r="K167" s="26">
        <v>0</v>
      </c>
      <c r="L167" s="1">
        <f>VLOOKUP(Table3[[#This Row],[Date]],SW_LU[],3,TRUE)</f>
        <v>92</v>
      </c>
      <c r="M167" s="1"/>
      <c r="N167" s="1"/>
    </row>
    <row r="168" spans="1:14" x14ac:dyDescent="0.3">
      <c r="A168" s="10">
        <v>45907</v>
      </c>
      <c r="B168" s="26">
        <v>12</v>
      </c>
      <c r="C168" s="26">
        <v>9</v>
      </c>
      <c r="D168" s="26">
        <v>8.11</v>
      </c>
      <c r="E168" s="26">
        <v>7.64</v>
      </c>
      <c r="F168" s="26">
        <v>0.96</v>
      </c>
      <c r="G168" s="26">
        <v>3.34</v>
      </c>
      <c r="H168" s="26">
        <v>0.48</v>
      </c>
      <c r="I168" s="26">
        <v>0</v>
      </c>
      <c r="J168" s="26">
        <v>0.48</v>
      </c>
      <c r="K168" s="26">
        <v>0</v>
      </c>
      <c r="L168" s="1">
        <f>VLOOKUP(Table3[[#This Row],[Date]],SW_LU[],3,TRUE)</f>
        <v>92</v>
      </c>
      <c r="M168" s="1"/>
      <c r="N168" s="1"/>
    </row>
    <row r="169" spans="1:14" x14ac:dyDescent="0.3">
      <c r="A169" s="10">
        <v>45908</v>
      </c>
      <c r="B169" s="26">
        <v>5</v>
      </c>
      <c r="C169" s="26">
        <v>3</v>
      </c>
      <c r="D169" s="26">
        <v>3.09</v>
      </c>
      <c r="E169" s="26">
        <v>2.91</v>
      </c>
      <c r="F169" s="26">
        <v>0.36</v>
      </c>
      <c r="G169" s="26">
        <v>1.27</v>
      </c>
      <c r="H169" s="26">
        <v>0.18</v>
      </c>
      <c r="I169" s="26">
        <v>0</v>
      </c>
      <c r="J169" s="26">
        <v>0.18</v>
      </c>
      <c r="K169" s="26">
        <v>0</v>
      </c>
      <c r="L169" s="1">
        <f>VLOOKUP(Table3[[#This Row],[Date]],SW_LU[],3,TRUE)</f>
        <v>92</v>
      </c>
      <c r="M169" s="1"/>
      <c r="N169" s="1"/>
    </row>
    <row r="170" spans="1:14" x14ac:dyDescent="0.3">
      <c r="A170" s="10">
        <v>45909</v>
      </c>
      <c r="B170" s="26">
        <v>7</v>
      </c>
      <c r="C170" s="26">
        <v>5</v>
      </c>
      <c r="D170" s="26">
        <v>4.6399999999999997</v>
      </c>
      <c r="E170" s="26">
        <v>4.3600000000000003</v>
      </c>
      <c r="F170" s="26">
        <v>0.55000000000000004</v>
      </c>
      <c r="G170" s="26">
        <v>1.91</v>
      </c>
      <c r="H170" s="26">
        <v>0.27</v>
      </c>
      <c r="I170" s="26">
        <v>0</v>
      </c>
      <c r="J170" s="26">
        <v>0.27</v>
      </c>
      <c r="K170" s="26">
        <v>0</v>
      </c>
      <c r="L170" s="1">
        <f>VLOOKUP(Table3[[#This Row],[Date]],SW_LU[],3,TRUE)</f>
        <v>92</v>
      </c>
      <c r="M170" s="1"/>
      <c r="N170" s="1"/>
    </row>
    <row r="171" spans="1:14" x14ac:dyDescent="0.3">
      <c r="A171" s="10">
        <v>45910</v>
      </c>
      <c r="B171" s="26">
        <v>10</v>
      </c>
      <c r="C171" s="26">
        <v>8</v>
      </c>
      <c r="D171" s="26">
        <v>6.96</v>
      </c>
      <c r="E171" s="26">
        <v>6.54</v>
      </c>
      <c r="F171" s="26">
        <v>0.82</v>
      </c>
      <c r="G171" s="26">
        <v>2.86</v>
      </c>
      <c r="H171" s="26">
        <v>0.41</v>
      </c>
      <c r="I171" s="26">
        <v>0</v>
      </c>
      <c r="J171" s="26">
        <v>0.41</v>
      </c>
      <c r="K171" s="26">
        <v>0</v>
      </c>
      <c r="L171" s="1">
        <f>VLOOKUP(Table3[[#This Row],[Date]],SW_LU[],3,TRUE)</f>
        <v>92</v>
      </c>
      <c r="M171" s="1"/>
      <c r="N171" s="1"/>
    </row>
    <row r="172" spans="1:14" x14ac:dyDescent="0.3">
      <c r="A172" s="10">
        <v>45911</v>
      </c>
      <c r="B172" s="26">
        <v>19</v>
      </c>
      <c r="C172" s="26">
        <v>14</v>
      </c>
      <c r="D172" s="26">
        <v>12.75</v>
      </c>
      <c r="E172" s="26">
        <v>12</v>
      </c>
      <c r="F172" s="26">
        <v>1.5</v>
      </c>
      <c r="G172" s="26">
        <v>5.25</v>
      </c>
      <c r="H172" s="26">
        <v>0.75</v>
      </c>
      <c r="I172" s="26">
        <v>0</v>
      </c>
      <c r="J172" s="26">
        <v>0.75</v>
      </c>
      <c r="K172" s="26">
        <v>0</v>
      </c>
      <c r="L172" s="1">
        <f>VLOOKUP(Table3[[#This Row],[Date]],SW_LU[],3,TRUE)</f>
        <v>93</v>
      </c>
      <c r="M172" s="1"/>
      <c r="N172" s="1"/>
    </row>
    <row r="173" spans="1:14" x14ac:dyDescent="0.3">
      <c r="A173" s="10">
        <v>45912</v>
      </c>
      <c r="B173" s="26">
        <v>16</v>
      </c>
      <c r="C173" s="26">
        <v>12</v>
      </c>
      <c r="D173" s="26">
        <v>10.82</v>
      </c>
      <c r="E173" s="26">
        <v>10.18</v>
      </c>
      <c r="F173" s="26">
        <v>1.27</v>
      </c>
      <c r="G173" s="26">
        <v>4.45</v>
      </c>
      <c r="H173" s="26">
        <v>0.64</v>
      </c>
      <c r="I173" s="26">
        <v>0</v>
      </c>
      <c r="J173" s="26">
        <v>0.64</v>
      </c>
      <c r="K173" s="26">
        <v>0</v>
      </c>
      <c r="L173" s="1">
        <f>VLOOKUP(Table3[[#This Row],[Date]],SW_LU[],3,TRUE)</f>
        <v>93</v>
      </c>
      <c r="M173" s="1"/>
      <c r="N173" s="1"/>
    </row>
    <row r="174" spans="1:14" x14ac:dyDescent="0.3">
      <c r="A174" s="10">
        <v>45913</v>
      </c>
      <c r="B174" s="26">
        <v>28</v>
      </c>
      <c r="C174" s="26">
        <v>22</v>
      </c>
      <c r="D174" s="26">
        <v>19.32</v>
      </c>
      <c r="E174" s="26">
        <v>18.18</v>
      </c>
      <c r="F174" s="26">
        <v>2.2799999999999998</v>
      </c>
      <c r="G174" s="26">
        <v>7.96</v>
      </c>
      <c r="H174" s="26">
        <v>1.1399999999999999</v>
      </c>
      <c r="I174" s="26">
        <v>0</v>
      </c>
      <c r="J174" s="26">
        <v>1.1399999999999999</v>
      </c>
      <c r="K174" s="26">
        <v>0</v>
      </c>
      <c r="L174" s="1">
        <f>VLOOKUP(Table3[[#This Row],[Date]],SW_LU[],3,TRUE)</f>
        <v>93</v>
      </c>
      <c r="M174" s="1"/>
      <c r="N174" s="1"/>
    </row>
    <row r="175" spans="1:14" x14ac:dyDescent="0.3">
      <c r="A175" s="10">
        <v>45914</v>
      </c>
      <c r="B175" s="26">
        <v>14</v>
      </c>
      <c r="C175" s="26">
        <v>11</v>
      </c>
      <c r="D175" s="26">
        <v>9.66</v>
      </c>
      <c r="E175" s="26">
        <v>9.09</v>
      </c>
      <c r="F175" s="26">
        <v>1.1399999999999999</v>
      </c>
      <c r="G175" s="26">
        <v>3.98</v>
      </c>
      <c r="H175" s="26">
        <v>0.56999999999999995</v>
      </c>
      <c r="I175" s="26">
        <v>0</v>
      </c>
      <c r="J175" s="26">
        <v>0.56999999999999995</v>
      </c>
      <c r="K175" s="26">
        <v>0</v>
      </c>
      <c r="L175" s="1">
        <f>VLOOKUP(Table3[[#This Row],[Date]],SW_LU[],3,TRUE)</f>
        <v>93</v>
      </c>
      <c r="M175" s="1"/>
      <c r="N175" s="1"/>
    </row>
    <row r="176" spans="1:14" x14ac:dyDescent="0.3">
      <c r="A176" s="10">
        <v>45915</v>
      </c>
      <c r="B176" s="26">
        <v>14</v>
      </c>
      <c r="C176" s="26">
        <v>10</v>
      </c>
      <c r="D176" s="26">
        <v>9.27</v>
      </c>
      <c r="E176" s="26">
        <v>8.73</v>
      </c>
      <c r="F176" s="26">
        <v>1.0900000000000001</v>
      </c>
      <c r="G176" s="26">
        <v>3.82</v>
      </c>
      <c r="H176" s="26">
        <v>0.54</v>
      </c>
      <c r="I176" s="26">
        <v>0</v>
      </c>
      <c r="J176" s="26">
        <v>0.54</v>
      </c>
      <c r="K176" s="26">
        <v>0</v>
      </c>
      <c r="L176" s="1">
        <f>VLOOKUP(Table3[[#This Row],[Date]],SW_LU[],3,TRUE)</f>
        <v>93</v>
      </c>
      <c r="M176" s="1"/>
      <c r="N176" s="1"/>
    </row>
    <row r="177" spans="1:14" x14ac:dyDescent="0.3">
      <c r="A177" s="10">
        <v>45916</v>
      </c>
      <c r="B177" s="26">
        <v>15</v>
      </c>
      <c r="C177" s="26">
        <v>11</v>
      </c>
      <c r="D177" s="26">
        <v>10.050000000000001</v>
      </c>
      <c r="E177" s="26">
        <v>9.4499999999999993</v>
      </c>
      <c r="F177" s="26">
        <v>1.18</v>
      </c>
      <c r="G177" s="26">
        <v>4.1399999999999997</v>
      </c>
      <c r="H177" s="26">
        <v>0.59</v>
      </c>
      <c r="I177" s="26">
        <v>0</v>
      </c>
      <c r="J177" s="26">
        <v>0.59</v>
      </c>
      <c r="K177" s="26">
        <v>0</v>
      </c>
      <c r="L177" s="1">
        <f>VLOOKUP(Table3[[#This Row],[Date]],SW_LU[],3,TRUE)</f>
        <v>93</v>
      </c>
      <c r="M177" s="1"/>
      <c r="N177" s="1"/>
    </row>
    <row r="178" spans="1:14" x14ac:dyDescent="0.3">
      <c r="A178" s="10">
        <v>45917</v>
      </c>
      <c r="B178" s="26">
        <v>6</v>
      </c>
      <c r="C178" s="26">
        <v>4</v>
      </c>
      <c r="D178" s="26">
        <v>3.86</v>
      </c>
      <c r="E178" s="26">
        <v>3.64</v>
      </c>
      <c r="F178" s="26">
        <v>0.46</v>
      </c>
      <c r="G178" s="26">
        <v>1.59</v>
      </c>
      <c r="H178" s="26">
        <v>0.23</v>
      </c>
      <c r="I178" s="26">
        <v>0</v>
      </c>
      <c r="J178" s="26">
        <v>0.23</v>
      </c>
      <c r="K178" s="26">
        <v>0</v>
      </c>
      <c r="L178" s="1">
        <f>VLOOKUP(Table3[[#This Row],[Date]],SW_LU[],3,TRUE)</f>
        <v>93</v>
      </c>
      <c r="M178" s="1"/>
      <c r="N178" s="1"/>
    </row>
    <row r="179" spans="1:14" x14ac:dyDescent="0.3">
      <c r="A179" s="10">
        <v>45918</v>
      </c>
      <c r="B179" s="26">
        <v>9</v>
      </c>
      <c r="C179" s="26">
        <v>7</v>
      </c>
      <c r="D179" s="26">
        <v>6.18</v>
      </c>
      <c r="E179" s="26">
        <v>5.82</v>
      </c>
      <c r="F179" s="26">
        <v>0.73</v>
      </c>
      <c r="G179" s="26">
        <v>2.5499999999999998</v>
      </c>
      <c r="H179" s="26">
        <v>0.36</v>
      </c>
      <c r="I179" s="26">
        <v>0</v>
      </c>
      <c r="J179" s="26">
        <v>0.36</v>
      </c>
      <c r="K179" s="26">
        <v>0</v>
      </c>
      <c r="L179" s="1">
        <f>VLOOKUP(Table3[[#This Row],[Date]],SW_LU[],3,TRUE)</f>
        <v>94</v>
      </c>
      <c r="M179" s="1"/>
      <c r="N179" s="1"/>
    </row>
    <row r="180" spans="1:14" x14ac:dyDescent="0.3">
      <c r="A180" s="10">
        <v>45919</v>
      </c>
      <c r="B180" s="26">
        <v>16</v>
      </c>
      <c r="C180" s="26">
        <v>12</v>
      </c>
      <c r="D180" s="26">
        <v>10.82</v>
      </c>
      <c r="E180" s="26">
        <v>10.18</v>
      </c>
      <c r="F180" s="26">
        <v>1.27</v>
      </c>
      <c r="G180" s="26">
        <v>4.45</v>
      </c>
      <c r="H180" s="26">
        <v>0.64</v>
      </c>
      <c r="I180" s="26">
        <v>0</v>
      </c>
      <c r="J180" s="26">
        <v>0.64</v>
      </c>
      <c r="K180" s="26">
        <v>0</v>
      </c>
      <c r="L180" s="1">
        <f>VLOOKUP(Table3[[#This Row],[Date]],SW_LU[],3,TRUE)</f>
        <v>94</v>
      </c>
      <c r="M180" s="1"/>
      <c r="N180" s="1"/>
    </row>
    <row r="181" spans="1:14" x14ac:dyDescent="0.3">
      <c r="A181" s="10">
        <v>45920</v>
      </c>
      <c r="B181" s="26">
        <v>6</v>
      </c>
      <c r="C181" s="26">
        <v>4</v>
      </c>
      <c r="D181" s="26">
        <v>3.86</v>
      </c>
      <c r="E181" s="26">
        <v>3.64</v>
      </c>
      <c r="F181" s="26">
        <v>0.46</v>
      </c>
      <c r="G181" s="26">
        <v>1.59</v>
      </c>
      <c r="H181" s="26">
        <v>0.23</v>
      </c>
      <c r="I181" s="26">
        <v>0</v>
      </c>
      <c r="J181" s="26">
        <v>0.23</v>
      </c>
      <c r="K181" s="26">
        <v>0</v>
      </c>
      <c r="L181" s="1">
        <f>VLOOKUP(Table3[[#This Row],[Date]],SW_LU[],3,TRUE)</f>
        <v>94</v>
      </c>
      <c r="M181" s="1"/>
      <c r="N181" s="1"/>
    </row>
    <row r="182" spans="1:14" x14ac:dyDescent="0.3">
      <c r="A182" s="10">
        <v>45921</v>
      </c>
      <c r="B182" s="26">
        <v>7</v>
      </c>
      <c r="C182" s="26">
        <v>5</v>
      </c>
      <c r="D182" s="26">
        <v>4.6399999999999997</v>
      </c>
      <c r="E182" s="26">
        <v>4.3600000000000003</v>
      </c>
      <c r="F182" s="26">
        <v>0.55000000000000004</v>
      </c>
      <c r="G182" s="26">
        <v>1.91</v>
      </c>
      <c r="H182" s="26">
        <v>0.27</v>
      </c>
      <c r="I182" s="26">
        <v>0</v>
      </c>
      <c r="J182" s="26">
        <v>0.27</v>
      </c>
      <c r="K182" s="26">
        <v>0</v>
      </c>
      <c r="L182" s="1">
        <f>VLOOKUP(Table3[[#This Row],[Date]],SW_LU[],3,TRUE)</f>
        <v>94</v>
      </c>
      <c r="M182" s="1"/>
      <c r="N182" s="1"/>
    </row>
    <row r="183" spans="1:14" x14ac:dyDescent="0.3">
      <c r="A183" s="10">
        <v>45922</v>
      </c>
      <c r="B183" s="26">
        <v>8</v>
      </c>
      <c r="C183" s="26">
        <v>6</v>
      </c>
      <c r="D183" s="26">
        <v>5.41</v>
      </c>
      <c r="E183" s="26">
        <v>5.09</v>
      </c>
      <c r="F183" s="26">
        <v>0.64</v>
      </c>
      <c r="G183" s="26">
        <v>2.23</v>
      </c>
      <c r="H183" s="26">
        <v>0.32</v>
      </c>
      <c r="I183" s="26">
        <v>0</v>
      </c>
      <c r="J183" s="26">
        <v>0.32</v>
      </c>
      <c r="K183" s="26">
        <v>0</v>
      </c>
      <c r="L183" s="1">
        <f>VLOOKUP(Table3[[#This Row],[Date]],SW_LU[],3,TRUE)</f>
        <v>94</v>
      </c>
      <c r="M183" s="1"/>
      <c r="N183" s="1"/>
    </row>
    <row r="184" spans="1:14" x14ac:dyDescent="0.3">
      <c r="A184" s="10">
        <v>45923</v>
      </c>
      <c r="B184" s="26">
        <v>9</v>
      </c>
      <c r="C184" s="26">
        <v>7</v>
      </c>
      <c r="D184" s="26">
        <v>6.18</v>
      </c>
      <c r="E184" s="26">
        <v>5.82</v>
      </c>
      <c r="F184" s="26">
        <v>0.73</v>
      </c>
      <c r="G184" s="26">
        <v>2.5499999999999998</v>
      </c>
      <c r="H184" s="26">
        <v>0.36</v>
      </c>
      <c r="I184" s="26">
        <v>0</v>
      </c>
      <c r="J184" s="26">
        <v>0.36</v>
      </c>
      <c r="K184" s="26">
        <v>0</v>
      </c>
      <c r="L184" s="1">
        <f>VLOOKUP(Table3[[#This Row],[Date]],SW_LU[],3,TRUE)</f>
        <v>94</v>
      </c>
      <c r="M184" s="1"/>
      <c r="N184" s="1"/>
    </row>
    <row r="185" spans="1:14" x14ac:dyDescent="0.3">
      <c r="A185" s="10">
        <v>45924</v>
      </c>
      <c r="B185" s="26">
        <v>5</v>
      </c>
      <c r="C185" s="26">
        <v>3</v>
      </c>
      <c r="D185" s="26">
        <v>3.09</v>
      </c>
      <c r="E185" s="26">
        <v>2.91</v>
      </c>
      <c r="F185" s="26">
        <v>0.36</v>
      </c>
      <c r="G185" s="26">
        <v>1.27</v>
      </c>
      <c r="H185" s="26">
        <v>0.18</v>
      </c>
      <c r="I185" s="26">
        <v>0</v>
      </c>
      <c r="J185" s="26">
        <v>0.18</v>
      </c>
      <c r="K185" s="26">
        <v>0</v>
      </c>
      <c r="L185" s="1">
        <f>VLOOKUP(Table3[[#This Row],[Date]],SW_LU[],3,TRUE)</f>
        <v>94</v>
      </c>
      <c r="M185" s="1"/>
      <c r="N185" s="1"/>
    </row>
    <row r="186" spans="1:14" x14ac:dyDescent="0.3">
      <c r="A186" s="10">
        <v>45925</v>
      </c>
      <c r="B186" s="26">
        <v>4</v>
      </c>
      <c r="C186" s="26">
        <v>3</v>
      </c>
      <c r="D186" s="26">
        <v>2.7</v>
      </c>
      <c r="E186" s="26">
        <v>2.5499999999999998</v>
      </c>
      <c r="F186" s="26">
        <v>0.32</v>
      </c>
      <c r="G186" s="26">
        <v>1.1100000000000001</v>
      </c>
      <c r="H186" s="26">
        <v>0.16</v>
      </c>
      <c r="I186" s="26">
        <v>0</v>
      </c>
      <c r="J186" s="26">
        <v>0.16</v>
      </c>
      <c r="K186" s="26">
        <v>0</v>
      </c>
      <c r="L186" s="1">
        <f>VLOOKUP(Table3[[#This Row],[Date]],SW_LU[],3,TRUE)</f>
        <v>101</v>
      </c>
      <c r="M186" s="1"/>
      <c r="N186" s="1"/>
    </row>
    <row r="187" spans="1:14" x14ac:dyDescent="0.3">
      <c r="A187" s="10">
        <v>45926</v>
      </c>
      <c r="B187" s="26">
        <v>0</v>
      </c>
      <c r="C187" s="26">
        <v>0</v>
      </c>
      <c r="D187" s="26">
        <v>0</v>
      </c>
      <c r="E187" s="26">
        <v>0</v>
      </c>
      <c r="F187" s="26">
        <v>0</v>
      </c>
      <c r="G187" s="26">
        <v>0</v>
      </c>
      <c r="H187" s="26">
        <v>0</v>
      </c>
      <c r="I187" s="26">
        <v>0</v>
      </c>
      <c r="J187" s="26">
        <v>0</v>
      </c>
      <c r="K187" s="26">
        <v>0</v>
      </c>
      <c r="L187" s="1">
        <f>VLOOKUP(Table3[[#This Row],[Date]],SW_LU[],3,TRUE)</f>
        <v>101</v>
      </c>
      <c r="M187" s="1"/>
      <c r="N187" s="1"/>
    </row>
    <row r="188" spans="1:14" x14ac:dyDescent="0.3">
      <c r="A188" s="10">
        <v>45927</v>
      </c>
      <c r="B188" s="26">
        <v>3</v>
      </c>
      <c r="C188" s="26">
        <v>3</v>
      </c>
      <c r="D188" s="26">
        <v>2.3199999999999998</v>
      </c>
      <c r="E188" s="26">
        <v>2.1800000000000002</v>
      </c>
      <c r="F188" s="26">
        <v>0.27</v>
      </c>
      <c r="G188" s="26">
        <v>0.95</v>
      </c>
      <c r="H188" s="26">
        <v>0.14000000000000001</v>
      </c>
      <c r="I188" s="26">
        <v>0</v>
      </c>
      <c r="J188" s="26">
        <v>0.14000000000000001</v>
      </c>
      <c r="K188" s="26">
        <v>0</v>
      </c>
      <c r="L188" s="1">
        <f>VLOOKUP(Table3[[#This Row],[Date]],SW_LU[],3,TRUE)</f>
        <v>101</v>
      </c>
      <c r="M188" s="1"/>
      <c r="N188" s="1"/>
    </row>
    <row r="189" spans="1:14" x14ac:dyDescent="0.3">
      <c r="A189" s="10">
        <v>45928</v>
      </c>
      <c r="B189" s="26">
        <v>8</v>
      </c>
      <c r="C189" s="26">
        <v>6</v>
      </c>
      <c r="D189" s="26">
        <v>5.41</v>
      </c>
      <c r="E189" s="26">
        <v>5.09</v>
      </c>
      <c r="F189" s="26">
        <v>0.64</v>
      </c>
      <c r="G189" s="26">
        <v>2.23</v>
      </c>
      <c r="H189" s="26">
        <v>0.32</v>
      </c>
      <c r="I189" s="26">
        <v>0</v>
      </c>
      <c r="J189" s="26">
        <v>0.32</v>
      </c>
      <c r="K189" s="26">
        <v>0</v>
      </c>
      <c r="L189" s="1">
        <f>VLOOKUP(Table3[[#This Row],[Date]],SW_LU[],3,TRUE)</f>
        <v>101</v>
      </c>
      <c r="M189" s="1"/>
      <c r="N189" s="1"/>
    </row>
    <row r="190" spans="1:14" x14ac:dyDescent="0.3">
      <c r="A190" s="10">
        <v>45929</v>
      </c>
      <c r="B190" s="26">
        <v>11</v>
      </c>
      <c r="C190" s="26">
        <v>9</v>
      </c>
      <c r="D190" s="26">
        <v>7.73</v>
      </c>
      <c r="E190" s="26">
        <v>7.27</v>
      </c>
      <c r="F190" s="26">
        <v>0.91</v>
      </c>
      <c r="G190" s="26">
        <v>3.18</v>
      </c>
      <c r="H190" s="26">
        <v>0.45</v>
      </c>
      <c r="I190" s="26">
        <v>0</v>
      </c>
      <c r="J190" s="26">
        <v>0.45</v>
      </c>
      <c r="K190" s="26">
        <v>0</v>
      </c>
      <c r="L190" s="1">
        <f>VLOOKUP(Table3[[#This Row],[Date]],SW_LU[],3,TRUE)</f>
        <v>101</v>
      </c>
      <c r="M190" s="1"/>
      <c r="N190" s="1"/>
    </row>
    <row r="191" spans="1:14" x14ac:dyDescent="0.3">
      <c r="A191" s="10">
        <v>45930</v>
      </c>
      <c r="B191" s="26">
        <v>41</v>
      </c>
      <c r="C191" s="26">
        <v>32</v>
      </c>
      <c r="D191" s="26">
        <v>28.21</v>
      </c>
      <c r="E191" s="26">
        <v>26.54</v>
      </c>
      <c r="F191" s="26">
        <v>3.32</v>
      </c>
      <c r="G191" s="26">
        <v>11.61</v>
      </c>
      <c r="H191" s="26">
        <v>1.66</v>
      </c>
      <c r="I191" s="26">
        <v>0</v>
      </c>
      <c r="J191" s="26">
        <v>1.66</v>
      </c>
      <c r="K191" s="26">
        <v>0</v>
      </c>
      <c r="L191" s="1">
        <f>VLOOKUP(Table3[[#This Row],[Date]],SW_LU[],3,TRUE)</f>
        <v>101</v>
      </c>
    </row>
    <row r="192" spans="1:14" x14ac:dyDescent="0.3">
      <c r="A192" s="10">
        <v>45931</v>
      </c>
      <c r="B192" s="26">
        <v>31</v>
      </c>
      <c r="C192" s="26">
        <v>23</v>
      </c>
      <c r="D192" s="26">
        <v>20.87</v>
      </c>
      <c r="E192" s="26">
        <v>19.63</v>
      </c>
      <c r="F192" s="26">
        <v>2.46</v>
      </c>
      <c r="G192" s="26">
        <v>8.59</v>
      </c>
      <c r="H192" s="26">
        <v>1.23</v>
      </c>
      <c r="I192" s="26">
        <v>0</v>
      </c>
      <c r="J192" s="26">
        <v>1.23</v>
      </c>
      <c r="K192" s="26">
        <v>0</v>
      </c>
      <c r="L192" s="1">
        <f>VLOOKUP(Table3[[#This Row],[Date]],SW_LU[],3,TRUE)</f>
        <v>101</v>
      </c>
    </row>
    <row r="193" spans="1:12" x14ac:dyDescent="0.3">
      <c r="A193" s="10">
        <v>45932</v>
      </c>
      <c r="B193" s="26">
        <v>299</v>
      </c>
      <c r="C193" s="26">
        <v>228</v>
      </c>
      <c r="D193" s="26">
        <v>203.63</v>
      </c>
      <c r="E193" s="26">
        <v>191.62</v>
      </c>
      <c r="F193" s="26">
        <v>23.98</v>
      </c>
      <c r="G193" s="26">
        <v>83.85</v>
      </c>
      <c r="H193" s="26">
        <v>11.96</v>
      </c>
      <c r="I193" s="26">
        <v>0</v>
      </c>
      <c r="J193" s="26">
        <v>11.96</v>
      </c>
      <c r="K193" s="26">
        <v>0</v>
      </c>
      <c r="L193" s="1">
        <f>VLOOKUP(Table3[[#This Row],[Date]],SW_LU[],3,TRUE)</f>
        <v>102</v>
      </c>
    </row>
    <row r="194" spans="1:12" x14ac:dyDescent="0.3">
      <c r="A194" s="10">
        <v>45933</v>
      </c>
      <c r="B194" s="26">
        <v>155</v>
      </c>
      <c r="C194" s="26">
        <v>118</v>
      </c>
      <c r="D194" s="26">
        <v>105.49</v>
      </c>
      <c r="E194" s="26">
        <v>99.26</v>
      </c>
      <c r="F194" s="26">
        <v>12.42</v>
      </c>
      <c r="G194" s="26">
        <v>43.43</v>
      </c>
      <c r="H194" s="26">
        <v>6.2</v>
      </c>
      <c r="I194" s="26">
        <v>0</v>
      </c>
      <c r="J194" s="26">
        <v>6.2</v>
      </c>
      <c r="K194" s="26">
        <v>0</v>
      </c>
      <c r="L194" s="1">
        <f>VLOOKUP(Table3[[#This Row],[Date]],SW_LU[],3,TRUE)</f>
        <v>102</v>
      </c>
    </row>
    <row r="195" spans="1:12" x14ac:dyDescent="0.3">
      <c r="A195" s="10">
        <v>45934</v>
      </c>
      <c r="B195" s="26">
        <v>172</v>
      </c>
      <c r="C195" s="26">
        <v>131</v>
      </c>
      <c r="D195" s="26">
        <v>117.08</v>
      </c>
      <c r="E195" s="26">
        <v>110.17</v>
      </c>
      <c r="F195" s="26">
        <v>13.79</v>
      </c>
      <c r="G195" s="26">
        <v>48.21</v>
      </c>
      <c r="H195" s="26">
        <v>6.88</v>
      </c>
      <c r="I195" s="26">
        <v>0</v>
      </c>
      <c r="J195" s="26">
        <v>6.88</v>
      </c>
      <c r="K195" s="26">
        <v>0</v>
      </c>
      <c r="L195" s="1">
        <f>VLOOKUP(Table3[[#This Row],[Date]],SW_LU[],3,TRUE)</f>
        <v>102</v>
      </c>
    </row>
    <row r="196" spans="1:12" x14ac:dyDescent="0.3">
      <c r="A196" s="10">
        <v>45935</v>
      </c>
      <c r="B196" s="26">
        <v>136</v>
      </c>
      <c r="C196" s="26">
        <v>104</v>
      </c>
      <c r="D196" s="26">
        <v>92.74</v>
      </c>
      <c r="E196" s="26">
        <v>87.26</v>
      </c>
      <c r="F196" s="26">
        <v>10.92</v>
      </c>
      <c r="G196" s="26">
        <v>38.18</v>
      </c>
      <c r="H196" s="26">
        <v>5.45</v>
      </c>
      <c r="I196" s="26">
        <v>0</v>
      </c>
      <c r="J196" s="26">
        <v>5.45</v>
      </c>
      <c r="K196" s="26">
        <v>0</v>
      </c>
      <c r="L196" s="15">
        <f>VLOOKUP(Table3[[#This Row],[Date]],SW_LU[],3,TRUE)</f>
        <v>102</v>
      </c>
    </row>
    <row r="197" spans="1:12" x14ac:dyDescent="0.3">
      <c r="A197" s="10">
        <v>45936</v>
      </c>
      <c r="B197" s="26">
        <v>74</v>
      </c>
      <c r="C197" s="26">
        <v>57</v>
      </c>
      <c r="D197" s="26">
        <v>50.62</v>
      </c>
      <c r="E197" s="26">
        <v>47.63</v>
      </c>
      <c r="F197" s="26">
        <v>5.96</v>
      </c>
      <c r="G197" s="26">
        <v>20.84</v>
      </c>
      <c r="H197" s="26">
        <v>2.97</v>
      </c>
      <c r="I197" s="26">
        <v>0</v>
      </c>
      <c r="J197" s="26">
        <v>2.97</v>
      </c>
      <c r="K197" s="26">
        <v>0</v>
      </c>
      <c r="L197" s="1">
        <f>VLOOKUP(Table3[[#This Row],[Date]],SW_LU[],3,TRUE)</f>
        <v>102</v>
      </c>
    </row>
    <row r="198" spans="1:12" x14ac:dyDescent="0.3">
      <c r="A198" s="10">
        <v>45937</v>
      </c>
      <c r="B198" s="26">
        <v>76</v>
      </c>
      <c r="C198" s="26">
        <v>58</v>
      </c>
      <c r="D198" s="26">
        <v>51.78</v>
      </c>
      <c r="E198" s="26">
        <v>48.72</v>
      </c>
      <c r="F198" s="26">
        <v>6.1</v>
      </c>
      <c r="G198" s="26">
        <v>21.32</v>
      </c>
      <c r="H198" s="26">
        <v>3.04</v>
      </c>
      <c r="I198" s="26">
        <v>0</v>
      </c>
      <c r="J198" s="26">
        <v>3.04</v>
      </c>
      <c r="K198" s="26">
        <v>0</v>
      </c>
      <c r="L198" s="1">
        <f>VLOOKUP(Table3[[#This Row],[Date]],SW_LU[],3,TRUE)</f>
        <v>102</v>
      </c>
    </row>
    <row r="199" spans="1:12" x14ac:dyDescent="0.3">
      <c r="A199" s="10">
        <v>45938</v>
      </c>
      <c r="B199" s="26">
        <v>37</v>
      </c>
      <c r="C199" s="26">
        <v>29</v>
      </c>
      <c r="D199" s="26">
        <v>25.5</v>
      </c>
      <c r="E199" s="26">
        <v>24</v>
      </c>
      <c r="F199" s="26">
        <v>3</v>
      </c>
      <c r="G199" s="26">
        <v>10.5</v>
      </c>
      <c r="H199" s="26">
        <v>1.5</v>
      </c>
      <c r="I199" s="26">
        <v>0</v>
      </c>
      <c r="J199" s="26">
        <v>1.5</v>
      </c>
      <c r="K199" s="26">
        <v>0</v>
      </c>
      <c r="L199" s="1">
        <f>VLOOKUP(Table3[[#This Row],[Date]],SW_LU[],3,TRUE)</f>
        <v>102</v>
      </c>
    </row>
    <row r="200" spans="1:12" x14ac:dyDescent="0.3">
      <c r="A200" s="10">
        <v>45939</v>
      </c>
      <c r="B200" s="26">
        <v>32</v>
      </c>
      <c r="C200" s="26">
        <v>24</v>
      </c>
      <c r="D200" s="26">
        <v>21.64</v>
      </c>
      <c r="E200" s="26">
        <v>20.36</v>
      </c>
      <c r="F200" s="26">
        <v>2.5499999999999998</v>
      </c>
      <c r="G200" s="26">
        <v>8.91</v>
      </c>
      <c r="H200" s="26">
        <v>1.27</v>
      </c>
      <c r="I200" s="26">
        <v>0</v>
      </c>
      <c r="J200" s="26">
        <v>1.27</v>
      </c>
      <c r="K200" s="26">
        <v>0</v>
      </c>
      <c r="L200" s="1">
        <f>VLOOKUP(Table3[[#This Row],[Date]],SW_LU[],3,TRUE)</f>
        <v>103</v>
      </c>
    </row>
    <row r="201" spans="1:12" x14ac:dyDescent="0.3">
      <c r="A201" s="10">
        <v>45940</v>
      </c>
      <c r="B201" s="26">
        <v>20</v>
      </c>
      <c r="C201" s="26">
        <v>16</v>
      </c>
      <c r="D201" s="26">
        <v>13.91</v>
      </c>
      <c r="E201" s="26">
        <v>13.09</v>
      </c>
      <c r="F201" s="26">
        <v>1.64</v>
      </c>
      <c r="G201" s="26">
        <v>5.73</v>
      </c>
      <c r="H201" s="26">
        <v>0.82</v>
      </c>
      <c r="I201" s="26">
        <v>0</v>
      </c>
      <c r="J201" s="26">
        <v>0.82</v>
      </c>
      <c r="K201" s="26">
        <v>0</v>
      </c>
      <c r="L201" s="1">
        <f>VLOOKUP(Table3[[#This Row],[Date]],SW_LU[],3,TRUE)</f>
        <v>103</v>
      </c>
    </row>
    <row r="202" spans="1:12" x14ac:dyDescent="0.3">
      <c r="A202" s="10">
        <v>45941</v>
      </c>
      <c r="B202" s="26">
        <v>14</v>
      </c>
      <c r="C202" s="26">
        <v>10</v>
      </c>
      <c r="D202" s="26">
        <v>9.27</v>
      </c>
      <c r="E202" s="26">
        <v>8.73</v>
      </c>
      <c r="F202" s="26">
        <v>1.0900000000000001</v>
      </c>
      <c r="G202" s="26">
        <v>3.82</v>
      </c>
      <c r="H202" s="26">
        <v>0.54</v>
      </c>
      <c r="I202" s="26">
        <v>0</v>
      </c>
      <c r="J202" s="26">
        <v>0.54</v>
      </c>
      <c r="K202" s="26">
        <v>0</v>
      </c>
      <c r="L202" s="1">
        <f>VLOOKUP(Table3[[#This Row],[Date]],SW_LU[],3,TRUE)</f>
        <v>103</v>
      </c>
    </row>
    <row r="203" spans="1:12" x14ac:dyDescent="0.3">
      <c r="A203" s="10">
        <v>45942</v>
      </c>
      <c r="B203" s="26">
        <v>10</v>
      </c>
      <c r="C203" s="26">
        <v>8</v>
      </c>
      <c r="D203" s="26">
        <v>6.96</v>
      </c>
      <c r="E203" s="26">
        <v>6.54</v>
      </c>
      <c r="F203" s="26">
        <v>0.82</v>
      </c>
      <c r="G203" s="26">
        <v>2.86</v>
      </c>
      <c r="H203" s="26">
        <v>0.41</v>
      </c>
      <c r="I203" s="26">
        <v>0</v>
      </c>
      <c r="J203" s="26">
        <v>0.41</v>
      </c>
      <c r="K203" s="26">
        <v>0</v>
      </c>
      <c r="L203" s="1">
        <f>VLOOKUP(Table3[[#This Row],[Date]],SW_LU[],3,TRUE)</f>
        <v>103</v>
      </c>
    </row>
    <row r="204" spans="1:12" x14ac:dyDescent="0.3">
      <c r="A204" s="10">
        <v>45943</v>
      </c>
      <c r="B204" s="26">
        <v>10</v>
      </c>
      <c r="C204" s="26">
        <v>7</v>
      </c>
      <c r="D204" s="26">
        <v>6.57</v>
      </c>
      <c r="E204" s="26">
        <v>6.18</v>
      </c>
      <c r="F204" s="26">
        <v>0.77</v>
      </c>
      <c r="G204" s="26">
        <v>2.7</v>
      </c>
      <c r="H204" s="26">
        <v>0.39</v>
      </c>
      <c r="I204" s="26">
        <v>0</v>
      </c>
      <c r="J204" s="26">
        <v>0.39</v>
      </c>
      <c r="K204" s="26">
        <v>0</v>
      </c>
      <c r="L204" s="1">
        <f>VLOOKUP(Table3[[#This Row],[Date]],SW_LU[],3,TRUE)</f>
        <v>103</v>
      </c>
    </row>
    <row r="205" spans="1:12" x14ac:dyDescent="0.3">
      <c r="A205" s="10">
        <v>45944</v>
      </c>
      <c r="B205" s="26">
        <v>9</v>
      </c>
      <c r="C205" s="26">
        <v>6</v>
      </c>
      <c r="D205" s="26">
        <v>5.8</v>
      </c>
      <c r="E205" s="26">
        <v>5.45</v>
      </c>
      <c r="F205" s="26">
        <v>0.68</v>
      </c>
      <c r="G205" s="26">
        <v>2.39</v>
      </c>
      <c r="H205" s="26">
        <v>0.34</v>
      </c>
      <c r="I205" s="26">
        <v>0</v>
      </c>
      <c r="J205" s="26">
        <v>0.34</v>
      </c>
      <c r="K205" s="26">
        <v>0</v>
      </c>
      <c r="L205" s="1">
        <f>VLOOKUP(Table3[[#This Row],[Date]],SW_LU[],3,TRUE)</f>
        <v>103</v>
      </c>
    </row>
    <row r="206" spans="1:12" x14ac:dyDescent="0.3">
      <c r="A206" s="10">
        <v>45945</v>
      </c>
      <c r="B206" s="26">
        <v>7</v>
      </c>
      <c r="C206" s="26">
        <v>5</v>
      </c>
      <c r="D206" s="26">
        <v>4.6399999999999997</v>
      </c>
      <c r="E206" s="26">
        <v>4.3600000000000003</v>
      </c>
      <c r="F206" s="26">
        <v>0.55000000000000004</v>
      </c>
      <c r="G206" s="26">
        <v>1.91</v>
      </c>
      <c r="H206" s="26">
        <v>0.27</v>
      </c>
      <c r="I206" s="26">
        <v>0</v>
      </c>
      <c r="J206" s="26">
        <v>0.27</v>
      </c>
      <c r="K206" s="26">
        <v>0</v>
      </c>
      <c r="L206" s="1">
        <f>VLOOKUP(Table3[[#This Row],[Date]],SW_LU[],3,TRUE)</f>
        <v>103</v>
      </c>
    </row>
    <row r="207" spans="1:12" x14ac:dyDescent="0.3">
      <c r="A207" s="10">
        <v>45946</v>
      </c>
      <c r="B207" s="26">
        <v>7</v>
      </c>
      <c r="C207" s="26">
        <v>6</v>
      </c>
      <c r="D207" s="26">
        <v>5.0199999999999996</v>
      </c>
      <c r="E207" s="26">
        <v>4.7300000000000004</v>
      </c>
      <c r="F207" s="26">
        <v>0.59</v>
      </c>
      <c r="G207" s="26">
        <v>2.0699999999999998</v>
      </c>
      <c r="H207" s="26">
        <v>0.3</v>
      </c>
      <c r="I207" s="26">
        <v>0</v>
      </c>
      <c r="J207" s="26">
        <v>0.3</v>
      </c>
      <c r="K207" s="26">
        <v>0</v>
      </c>
      <c r="L207" s="1">
        <f>VLOOKUP(Table3[[#This Row],[Date]],SW_LU[],3,TRUE)</f>
        <v>104</v>
      </c>
    </row>
    <row r="208" spans="1:12" x14ac:dyDescent="0.3">
      <c r="A208" s="10">
        <v>45947</v>
      </c>
      <c r="B208" s="26">
        <v>11</v>
      </c>
      <c r="C208" s="26">
        <v>8</v>
      </c>
      <c r="D208" s="26">
        <v>7.34</v>
      </c>
      <c r="E208" s="26">
        <v>6.91</v>
      </c>
      <c r="F208" s="26">
        <v>0.86</v>
      </c>
      <c r="G208" s="26">
        <v>3.02</v>
      </c>
      <c r="H208" s="26">
        <v>0.43</v>
      </c>
      <c r="I208" s="26">
        <v>0</v>
      </c>
      <c r="J208" s="26">
        <v>0.43</v>
      </c>
      <c r="K208" s="26">
        <v>0</v>
      </c>
      <c r="L208" s="1">
        <f>VLOOKUP(Table3[[#This Row],[Date]],SW_LU[],3,TRUE)</f>
        <v>104</v>
      </c>
    </row>
    <row r="209" spans="1:12" x14ac:dyDescent="0.3">
      <c r="A209" s="10">
        <v>45948</v>
      </c>
      <c r="B209" s="26">
        <v>10</v>
      </c>
      <c r="C209" s="26">
        <v>8</v>
      </c>
      <c r="D209" s="26">
        <v>6.96</v>
      </c>
      <c r="E209" s="26">
        <v>6.54</v>
      </c>
      <c r="F209" s="26">
        <v>0.82</v>
      </c>
      <c r="G209" s="26">
        <v>2.86</v>
      </c>
      <c r="H209" s="26">
        <v>0.41</v>
      </c>
      <c r="I209" s="26">
        <v>0</v>
      </c>
      <c r="J209" s="26">
        <v>0.41</v>
      </c>
      <c r="K209" s="26">
        <v>0</v>
      </c>
      <c r="L209" s="1">
        <f>VLOOKUP(Table3[[#This Row],[Date]],SW_LU[],3,TRUE)</f>
        <v>104</v>
      </c>
    </row>
    <row r="210" spans="1:12" x14ac:dyDescent="0.3">
      <c r="A210" s="10">
        <v>45949</v>
      </c>
      <c r="B210" s="26">
        <v>11</v>
      </c>
      <c r="C210" s="26">
        <v>8</v>
      </c>
      <c r="D210" s="26">
        <v>7.34</v>
      </c>
      <c r="E210" s="26">
        <v>6.91</v>
      </c>
      <c r="F210" s="26">
        <v>0.86</v>
      </c>
      <c r="G210" s="26">
        <v>3.02</v>
      </c>
      <c r="H210" s="26">
        <v>0.43</v>
      </c>
      <c r="I210" s="26">
        <v>0</v>
      </c>
      <c r="J210" s="26">
        <v>0.43</v>
      </c>
      <c r="K210" s="26">
        <v>0</v>
      </c>
      <c r="L210" s="1">
        <f>VLOOKUP(Table3[[#This Row],[Date]],SW_LU[],3,TRUE)</f>
        <v>104</v>
      </c>
    </row>
    <row r="211" spans="1:12" x14ac:dyDescent="0.3">
      <c r="A211" s="10">
        <v>45950</v>
      </c>
      <c r="B211" s="26">
        <v>26</v>
      </c>
      <c r="C211" s="26">
        <v>19</v>
      </c>
      <c r="D211" s="26">
        <v>17.39</v>
      </c>
      <c r="E211" s="26">
        <v>16.36</v>
      </c>
      <c r="F211" s="26">
        <v>2.0499999999999998</v>
      </c>
      <c r="G211" s="26">
        <v>7.16</v>
      </c>
      <c r="H211" s="26">
        <v>1.02</v>
      </c>
      <c r="I211" s="26">
        <v>0</v>
      </c>
      <c r="J211" s="26">
        <v>1.02</v>
      </c>
      <c r="K211" s="26">
        <v>0</v>
      </c>
      <c r="L211" s="1">
        <f>VLOOKUP(Table3[[#This Row],[Date]],SW_LU[],3,TRUE)</f>
        <v>104</v>
      </c>
    </row>
    <row r="212" spans="1:12" x14ac:dyDescent="0.3">
      <c r="A212" s="10">
        <v>45951</v>
      </c>
      <c r="B212" s="26">
        <v>30</v>
      </c>
      <c r="C212" s="26">
        <v>23</v>
      </c>
      <c r="D212" s="26">
        <v>20.48</v>
      </c>
      <c r="E212" s="26">
        <v>19.27</v>
      </c>
      <c r="F212" s="26">
        <v>2.41</v>
      </c>
      <c r="G212" s="26">
        <v>8.43</v>
      </c>
      <c r="H212" s="26">
        <v>1.2</v>
      </c>
      <c r="I212" s="26">
        <v>0</v>
      </c>
      <c r="J212" s="26">
        <v>1.2</v>
      </c>
      <c r="K212" s="26">
        <v>0</v>
      </c>
      <c r="L212" s="1">
        <f>VLOOKUP(Table3[[#This Row],[Date]],SW_LU[],3,TRUE)</f>
        <v>104</v>
      </c>
    </row>
    <row r="213" spans="1:12" x14ac:dyDescent="0.3">
      <c r="A213" s="10">
        <v>45952</v>
      </c>
      <c r="B213" s="26">
        <v>31</v>
      </c>
      <c r="C213" s="26">
        <v>24</v>
      </c>
      <c r="D213" s="26">
        <v>21.25</v>
      </c>
      <c r="E213" s="26">
        <v>20</v>
      </c>
      <c r="F213" s="26">
        <v>2.5</v>
      </c>
      <c r="G213" s="26">
        <v>8.75</v>
      </c>
      <c r="H213" s="26">
        <v>1.25</v>
      </c>
      <c r="I213" s="26">
        <v>0</v>
      </c>
      <c r="J213" s="26">
        <v>1.25</v>
      </c>
      <c r="K213" s="26">
        <v>0</v>
      </c>
      <c r="L213" s="1">
        <f>VLOOKUP(Table3[[#This Row],[Date]],SW_LU[],3,TRUE)</f>
        <v>104</v>
      </c>
    </row>
    <row r="214" spans="1:12" x14ac:dyDescent="0.3">
      <c r="A214" s="10">
        <v>45953</v>
      </c>
      <c r="B214" s="26">
        <v>37</v>
      </c>
      <c r="C214" s="26">
        <v>28</v>
      </c>
      <c r="D214" s="26">
        <v>25.12</v>
      </c>
      <c r="E214" s="26">
        <v>23.63</v>
      </c>
      <c r="F214" s="26">
        <v>2.96</v>
      </c>
      <c r="G214" s="26">
        <v>10.34</v>
      </c>
      <c r="H214" s="26">
        <v>1.48</v>
      </c>
      <c r="I214" s="26">
        <v>0</v>
      </c>
      <c r="J214" s="26">
        <v>1.48</v>
      </c>
      <c r="K214" s="26">
        <v>0</v>
      </c>
      <c r="L214" s="1">
        <f>VLOOKUP(Table3[[#This Row],[Date]],SW_LU[],3,TRUE)</f>
        <v>105</v>
      </c>
    </row>
    <row r="215" spans="1:12" x14ac:dyDescent="0.3">
      <c r="A215" s="10">
        <v>45954</v>
      </c>
      <c r="B215" s="26">
        <v>19</v>
      </c>
      <c r="C215" s="26">
        <v>14</v>
      </c>
      <c r="D215" s="26">
        <v>12.75</v>
      </c>
      <c r="E215" s="26">
        <v>12</v>
      </c>
      <c r="F215" s="26">
        <v>1.5</v>
      </c>
      <c r="G215" s="26">
        <v>5.25</v>
      </c>
      <c r="H215" s="26">
        <v>0.75</v>
      </c>
      <c r="I215" s="26">
        <v>0</v>
      </c>
      <c r="J215" s="26">
        <v>0.75</v>
      </c>
      <c r="K215" s="26">
        <v>0</v>
      </c>
      <c r="L215" s="15">
        <f>VLOOKUP(Table3[[#This Row],[Date]],SW_LU[],3,TRUE)</f>
        <v>105</v>
      </c>
    </row>
    <row r="216" spans="1:12" x14ac:dyDescent="0.3">
      <c r="A216" s="10">
        <v>45955</v>
      </c>
      <c r="B216" s="26">
        <v>37</v>
      </c>
      <c r="C216" s="26">
        <v>28</v>
      </c>
      <c r="D216" s="26">
        <v>25.12</v>
      </c>
      <c r="E216" s="26">
        <v>23.63</v>
      </c>
      <c r="F216" s="26">
        <v>2.96</v>
      </c>
      <c r="G216" s="26">
        <v>10.34</v>
      </c>
      <c r="H216" s="26">
        <v>1.48</v>
      </c>
      <c r="I216" s="26">
        <v>0</v>
      </c>
      <c r="J216" s="26">
        <v>1.48</v>
      </c>
      <c r="K216" s="26">
        <v>0</v>
      </c>
      <c r="L216">
        <f>VLOOKUP(Table3[[#This Row],[Date]],SW_LU[],3,TRUE)</f>
        <v>105</v>
      </c>
    </row>
    <row r="217" spans="1:12" x14ac:dyDescent="0.3">
      <c r="A217" s="10">
        <v>45956</v>
      </c>
      <c r="B217" s="26">
        <v>68</v>
      </c>
      <c r="C217" s="26">
        <v>52</v>
      </c>
      <c r="D217" s="26">
        <v>46.37</v>
      </c>
      <c r="E217" s="26">
        <v>43.63</v>
      </c>
      <c r="F217" s="26">
        <v>5.46</v>
      </c>
      <c r="G217" s="26">
        <v>19.09</v>
      </c>
      <c r="H217" s="26">
        <v>2.72</v>
      </c>
      <c r="I217" s="26">
        <v>0</v>
      </c>
      <c r="J217" s="26">
        <v>2.72</v>
      </c>
      <c r="K217" s="26">
        <v>0</v>
      </c>
      <c r="L217">
        <f>VLOOKUP(Table3[[#This Row],[Date]],SW_LU[],3,TRUE)</f>
        <v>105</v>
      </c>
    </row>
    <row r="218" spans="1:12" x14ac:dyDescent="0.3">
      <c r="A218" s="10">
        <v>45957</v>
      </c>
      <c r="B218" s="26">
        <v>78</v>
      </c>
      <c r="C218" s="26">
        <v>59</v>
      </c>
      <c r="D218" s="26">
        <v>52.94</v>
      </c>
      <c r="E218" s="26">
        <v>49.81</v>
      </c>
      <c r="F218" s="26">
        <v>6.23</v>
      </c>
      <c r="G218" s="26">
        <v>21.8</v>
      </c>
      <c r="H218" s="26">
        <v>3.11</v>
      </c>
      <c r="I218" s="26">
        <v>0</v>
      </c>
      <c r="J218" s="26">
        <v>3.11</v>
      </c>
      <c r="K218" s="26">
        <v>0</v>
      </c>
      <c r="L218">
        <f>VLOOKUP(Table3[[#This Row],[Date]],SW_LU[],3,TRUE)</f>
        <v>105</v>
      </c>
    </row>
    <row r="219" spans="1:12" x14ac:dyDescent="0.3">
      <c r="A219" s="10">
        <v>45958</v>
      </c>
      <c r="B219" s="26">
        <v>37</v>
      </c>
      <c r="C219" s="26">
        <v>29</v>
      </c>
      <c r="D219" s="26">
        <v>25.5</v>
      </c>
      <c r="E219" s="26">
        <v>24</v>
      </c>
      <c r="F219" s="26">
        <v>3</v>
      </c>
      <c r="G219" s="26">
        <v>10.5</v>
      </c>
      <c r="H219" s="26">
        <v>1.5</v>
      </c>
      <c r="I219" s="26">
        <v>0</v>
      </c>
      <c r="J219" s="26">
        <v>1.5</v>
      </c>
      <c r="K219" s="26">
        <v>0</v>
      </c>
      <c r="L219">
        <f>VLOOKUP(Table3[[#This Row],[Date]],SW_LU[],3,TRUE)</f>
        <v>105</v>
      </c>
    </row>
    <row r="220" spans="1:12" x14ac:dyDescent="0.3">
      <c r="A220" s="10">
        <v>45959</v>
      </c>
      <c r="B220" s="26">
        <v>32</v>
      </c>
      <c r="C220" s="26">
        <v>24</v>
      </c>
      <c r="D220" s="26">
        <v>21.64</v>
      </c>
      <c r="E220" s="26">
        <v>20.36</v>
      </c>
      <c r="F220" s="26">
        <v>2.5499999999999998</v>
      </c>
      <c r="G220" s="26">
        <v>8.91</v>
      </c>
      <c r="H220" s="26">
        <v>1.27</v>
      </c>
      <c r="I220" s="26">
        <v>0</v>
      </c>
      <c r="J220" s="26">
        <v>1.27</v>
      </c>
      <c r="K220" s="26">
        <v>0</v>
      </c>
      <c r="L220">
        <f>VLOOKUP(Table3[[#This Row],[Date]],SW_LU[],3,TRUE)</f>
        <v>105</v>
      </c>
    </row>
    <row r="221" spans="1:12" x14ac:dyDescent="0.3">
      <c r="A221" s="10">
        <v>45960</v>
      </c>
      <c r="B221" s="26">
        <v>6</v>
      </c>
      <c r="C221" s="26">
        <v>4</v>
      </c>
      <c r="D221" s="26">
        <v>3.86</v>
      </c>
      <c r="E221" s="26">
        <v>3.64</v>
      </c>
      <c r="F221" s="26">
        <v>0.46</v>
      </c>
      <c r="G221" s="26">
        <v>1.59</v>
      </c>
      <c r="H221" s="26">
        <v>0.23</v>
      </c>
      <c r="I221" s="26">
        <v>0</v>
      </c>
      <c r="J221" s="26">
        <v>0.23</v>
      </c>
      <c r="K221" s="26">
        <v>0</v>
      </c>
      <c r="L221">
        <f>VLOOKUP(Table3[[#This Row],[Date]],SW_LU[],3,TRUE)</f>
        <v>111</v>
      </c>
    </row>
    <row r="222" spans="1:12" x14ac:dyDescent="0.3">
      <c r="A222" s="1"/>
      <c r="B222" s="17"/>
      <c r="C222" s="17"/>
      <c r="D222" s="18"/>
      <c r="E222" s="18"/>
      <c r="F222" s="18"/>
      <c r="G222" s="18"/>
      <c r="H222" s="18"/>
      <c r="I222" s="14"/>
      <c r="J222" s="18"/>
      <c r="K222" s="14"/>
    </row>
    <row r="223" spans="1:12" x14ac:dyDescent="0.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</row>
    <row r="224" spans="1:12" x14ac:dyDescent="0.3">
      <c r="A224" s="10"/>
      <c r="B224" s="1"/>
      <c r="C224" s="1"/>
      <c r="D224" s="1"/>
      <c r="E224" s="1"/>
      <c r="F224" s="1"/>
      <c r="G224" s="1"/>
      <c r="H224" s="1"/>
      <c r="I224" s="1"/>
      <c r="J224" s="1"/>
      <c r="K224" s="1"/>
    </row>
    <row r="225" spans="1:11" x14ac:dyDescent="0.3">
      <c r="A225" s="10"/>
      <c r="B225" s="1"/>
      <c r="C225" s="1"/>
      <c r="D225" s="1"/>
      <c r="E225" s="1"/>
      <c r="F225" s="1"/>
      <c r="G225" s="1"/>
      <c r="H225" s="1"/>
      <c r="I225" s="1"/>
      <c r="J225" s="1"/>
      <c r="K225" s="1"/>
    </row>
    <row r="226" spans="1:11" x14ac:dyDescent="0.3">
      <c r="A226" s="10"/>
      <c r="B226" s="1"/>
      <c r="C226" s="1"/>
      <c r="D226" s="1"/>
      <c r="E226" s="1"/>
      <c r="F226" s="1"/>
      <c r="G226" s="1"/>
      <c r="H226" s="1"/>
      <c r="I226" s="1"/>
      <c r="J226" s="1"/>
      <c r="K226" s="1"/>
    </row>
    <row r="227" spans="1:11" x14ac:dyDescent="0.3">
      <c r="A227" s="10"/>
      <c r="B227" s="1"/>
      <c r="C227" s="1"/>
      <c r="D227" s="1"/>
      <c r="E227" s="1"/>
      <c r="F227" s="1"/>
      <c r="G227" s="1"/>
      <c r="H227" s="1"/>
      <c r="I227" s="1"/>
      <c r="J227" s="1"/>
      <c r="K227" s="1"/>
    </row>
    <row r="228" spans="1:11" x14ac:dyDescent="0.3">
      <c r="A228" s="10"/>
      <c r="B228" s="1"/>
      <c r="C228" s="1"/>
      <c r="D228" s="1"/>
      <c r="E228" s="1"/>
      <c r="F228" s="1"/>
      <c r="G228" s="1"/>
      <c r="H228" s="1"/>
      <c r="I228" s="1"/>
      <c r="J228" s="1"/>
      <c r="K228" s="1"/>
    </row>
    <row r="229" spans="1:11" x14ac:dyDescent="0.3">
      <c r="A229" s="10"/>
      <c r="B229" s="1"/>
      <c r="C229" s="1"/>
      <c r="D229" s="1"/>
      <c r="E229" s="1"/>
      <c r="F229" s="1"/>
      <c r="G229" s="1"/>
      <c r="H229" s="1"/>
      <c r="I229" s="1"/>
      <c r="J229" s="1"/>
      <c r="K229" s="1"/>
    </row>
    <row r="230" spans="1:11" x14ac:dyDescent="0.3">
      <c r="A230" s="10"/>
      <c r="B230" s="1"/>
      <c r="C230" s="1"/>
      <c r="D230" s="1"/>
      <c r="E230" s="1"/>
      <c r="F230" s="1"/>
      <c r="G230" s="1"/>
      <c r="H230" s="1"/>
      <c r="I230" s="1"/>
      <c r="J230" s="1"/>
      <c r="K230" s="1"/>
    </row>
    <row r="231" spans="1:11" x14ac:dyDescent="0.3">
      <c r="A231" s="10"/>
      <c r="B231" s="1"/>
      <c r="C231" s="1"/>
      <c r="D231" s="1"/>
      <c r="E231" s="1"/>
      <c r="F231" s="1"/>
      <c r="G231" s="1"/>
      <c r="H231" s="1"/>
      <c r="I231" s="1"/>
      <c r="J231" s="1"/>
      <c r="K231" s="1"/>
    </row>
    <row r="232" spans="1:11" x14ac:dyDescent="0.3">
      <c r="A232" s="10"/>
      <c r="B232" s="1"/>
      <c r="C232" s="1"/>
      <c r="D232" s="1"/>
      <c r="E232" s="1"/>
      <c r="F232" s="1"/>
      <c r="G232" s="1"/>
      <c r="H232" s="1"/>
      <c r="I232" s="1"/>
      <c r="J232" s="1"/>
      <c r="K232" s="1"/>
    </row>
    <row r="233" spans="1:11" x14ac:dyDescent="0.3">
      <c r="A233" s="10"/>
      <c r="B233" s="1"/>
      <c r="C233" s="1"/>
      <c r="D233" s="1"/>
      <c r="E233" s="1"/>
      <c r="F233" s="1"/>
      <c r="G233" s="1"/>
      <c r="H233" s="1"/>
      <c r="I233" s="1"/>
      <c r="J233" s="1"/>
      <c r="K233" s="1"/>
    </row>
    <row r="234" spans="1:11" x14ac:dyDescent="0.3">
      <c r="A234" s="10"/>
      <c r="B234" s="1"/>
      <c r="C234" s="1"/>
      <c r="D234" s="1"/>
      <c r="E234" s="1"/>
      <c r="F234" s="1"/>
      <c r="G234" s="1"/>
      <c r="H234" s="1"/>
      <c r="I234" s="1"/>
      <c r="J234" s="1"/>
      <c r="K234" s="1"/>
    </row>
    <row r="235" spans="1:11" x14ac:dyDescent="0.3">
      <c r="A235" s="1"/>
      <c r="B235" s="15"/>
      <c r="C235" s="15"/>
      <c r="D235" s="16"/>
      <c r="E235" s="16"/>
      <c r="F235" s="16"/>
      <c r="G235" s="16"/>
      <c r="H235" s="16"/>
      <c r="I235" s="1"/>
      <c r="J235" s="1"/>
      <c r="K235" s="1"/>
    </row>
    <row r="236" spans="1:11" x14ac:dyDescent="0.3">
      <c r="A236" s="10"/>
      <c r="B236" s="1"/>
      <c r="C236" s="1"/>
      <c r="D236" s="1"/>
      <c r="E236" s="1"/>
      <c r="F236" s="1"/>
      <c r="G236" s="1"/>
      <c r="H236" s="1"/>
      <c r="I236" s="1"/>
      <c r="J236" s="1"/>
      <c r="K236" s="1"/>
    </row>
    <row r="237" spans="1:11" x14ac:dyDescent="0.3">
      <c r="A237" s="10"/>
      <c r="B237" s="1"/>
      <c r="C237" s="1"/>
      <c r="D237" s="1"/>
      <c r="E237" s="1"/>
      <c r="F237" s="1"/>
      <c r="G237" s="1"/>
      <c r="H237" s="1"/>
      <c r="I237" s="1"/>
      <c r="J237" s="1"/>
      <c r="K237" s="1"/>
    </row>
    <row r="238" spans="1:11" x14ac:dyDescent="0.3">
      <c r="A238" s="10"/>
      <c r="B238" s="1"/>
      <c r="C238" s="1"/>
      <c r="D238" s="1"/>
      <c r="E238" s="1"/>
      <c r="F238" s="1"/>
      <c r="G238" s="1"/>
      <c r="H238" s="1"/>
      <c r="I238" s="1"/>
      <c r="J238" s="1"/>
      <c r="K238" s="1"/>
    </row>
    <row r="239" spans="1:11" x14ac:dyDescent="0.3">
      <c r="A239" s="10"/>
      <c r="B239" s="1"/>
      <c r="C239" s="1"/>
      <c r="D239" s="1"/>
      <c r="E239" s="1"/>
      <c r="F239" s="1"/>
      <c r="G239" s="1"/>
      <c r="H239" s="1"/>
      <c r="I239" s="1"/>
      <c r="J239" s="1"/>
      <c r="K239" s="1"/>
    </row>
    <row r="240" spans="1:11" x14ac:dyDescent="0.3">
      <c r="A240" s="10"/>
      <c r="B240" s="1"/>
      <c r="C240" s="1"/>
      <c r="D240" s="1"/>
      <c r="E240" s="1"/>
      <c r="F240" s="1"/>
      <c r="G240" s="1"/>
      <c r="H240" s="1"/>
      <c r="I240" s="1"/>
      <c r="J240" s="1"/>
      <c r="K240" s="1"/>
    </row>
    <row r="241" spans="1:11" x14ac:dyDescent="0.3">
      <c r="A241" s="10"/>
      <c r="B241" s="1"/>
      <c r="C241" s="1"/>
      <c r="D241" s="1"/>
      <c r="E241" s="1"/>
      <c r="F241" s="1"/>
      <c r="G241" s="1"/>
      <c r="H241" s="1"/>
      <c r="I241" s="1"/>
      <c r="J241" s="1"/>
      <c r="K241" s="1"/>
    </row>
    <row r="242" spans="1:11" x14ac:dyDescent="0.3">
      <c r="A242" s="10"/>
      <c r="B242" s="1"/>
      <c r="C242" s="1"/>
      <c r="D242" s="1"/>
      <c r="E242" s="1"/>
      <c r="F242" s="1"/>
      <c r="G242" s="1"/>
      <c r="H242" s="1"/>
      <c r="I242" s="1"/>
      <c r="J242" s="1"/>
      <c r="K242" s="1"/>
    </row>
    <row r="243" spans="1:11" x14ac:dyDescent="0.3">
      <c r="A243" s="10"/>
      <c r="B243" s="1"/>
      <c r="C243" s="1"/>
      <c r="D243" s="1"/>
      <c r="E243" s="1"/>
      <c r="F243" s="1"/>
      <c r="G243" s="1"/>
      <c r="H243" s="1"/>
      <c r="I243" s="1"/>
      <c r="J243" s="1"/>
      <c r="K243" s="1"/>
    </row>
    <row r="244" spans="1:11" x14ac:dyDescent="0.3">
      <c r="A244" s="10"/>
      <c r="B244" s="1"/>
      <c r="C244" s="1"/>
      <c r="D244" s="1"/>
      <c r="E244" s="1"/>
      <c r="F244" s="1"/>
      <c r="G244" s="1"/>
      <c r="H244" s="1"/>
      <c r="I244" s="1"/>
      <c r="J244" s="1"/>
      <c r="K244" s="1"/>
    </row>
    <row r="245" spans="1:11" x14ac:dyDescent="0.3">
      <c r="A245" s="10"/>
      <c r="B245" s="1"/>
      <c r="C245" s="1"/>
      <c r="D245" s="1"/>
      <c r="E245" s="1"/>
      <c r="F245" s="1"/>
      <c r="G245" s="1"/>
      <c r="H245" s="1"/>
      <c r="I245" s="1"/>
      <c r="J245" s="1"/>
      <c r="K245" s="1"/>
    </row>
    <row r="246" spans="1:11" x14ac:dyDescent="0.3">
      <c r="A246" s="10"/>
      <c r="B246" s="1"/>
      <c r="C246" s="1"/>
      <c r="D246" s="1"/>
      <c r="E246" s="1"/>
      <c r="F246" s="1"/>
      <c r="G246" s="1"/>
      <c r="H246" s="1"/>
      <c r="I246" s="1"/>
      <c r="J246" s="1"/>
      <c r="K246" s="1"/>
    </row>
    <row r="247" spans="1:11" x14ac:dyDescent="0.3">
      <c r="A247" s="10"/>
      <c r="B247" s="1"/>
      <c r="C247" s="1"/>
      <c r="D247" s="1"/>
      <c r="E247" s="1"/>
      <c r="F247" s="1"/>
      <c r="G247" s="1"/>
      <c r="H247" s="1"/>
      <c r="I247" s="1"/>
      <c r="J247" s="1"/>
      <c r="K247" s="1"/>
    </row>
    <row r="248" spans="1:11" x14ac:dyDescent="0.3">
      <c r="A248" s="1"/>
      <c r="B248" s="15"/>
      <c r="C248" s="15"/>
      <c r="D248" s="16"/>
      <c r="E248" s="16"/>
      <c r="F248" s="16"/>
      <c r="G248" s="16"/>
      <c r="H248" s="16"/>
      <c r="I248" s="1"/>
      <c r="J248" s="16"/>
      <c r="K248" s="1"/>
    </row>
  </sheetData>
  <sortState xmlns:xlrd2="http://schemas.microsoft.com/office/spreadsheetml/2017/richdata2" columnSort="1" ref="O2:W36">
    <sortCondition ref="P2"/>
  </sortState>
  <pageMargins left="0.7" right="0.7" top="0.75" bottom="0.75" header="0.3" footer="0.3"/>
  <headerFooter>
    <oddHeader>&amp;R&amp;"Calibri"&amp;12&amp;K000000 Unclassified - Non-Classifié&amp;1#_x000D_</oddHead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223"/>
  <sheetViews>
    <sheetView zoomScaleNormal="100" workbookViewId="0">
      <pane ySplit="1" topLeftCell="A2" activePane="bottomLeft" state="frozen"/>
      <selection pane="bottomLeft" activeCell="B2" sqref="B2:C208"/>
    </sheetView>
  </sheetViews>
  <sheetFormatPr defaultRowHeight="14.4" x14ac:dyDescent="0.3"/>
  <cols>
    <col min="1" max="1" width="15.88671875" style="6" customWidth="1"/>
    <col min="2" max="2" width="10.109375" customWidth="1"/>
    <col min="3" max="4" width="11.5546875" bestFit="1" customWidth="1"/>
    <col min="5" max="5" width="15.33203125" customWidth="1"/>
    <col min="6" max="6" width="14" customWidth="1"/>
    <col min="7" max="7" width="12" customWidth="1"/>
    <col min="8" max="8" width="10.6640625" customWidth="1"/>
    <col min="9" max="9" width="9.33203125" bestFit="1" customWidth="1"/>
    <col min="10" max="10" width="10.109375" customWidth="1"/>
    <col min="11" max="11" width="9.33203125" customWidth="1"/>
    <col min="12" max="12" width="11.21875" customWidth="1"/>
    <col min="14" max="14" width="12.5546875" bestFit="1" customWidth="1"/>
    <col min="15" max="21" width="9.44140625" bestFit="1" customWidth="1"/>
    <col min="22" max="163" width="16.109375" bestFit="1" customWidth="1"/>
    <col min="164" max="164" width="11.21875" bestFit="1" customWidth="1"/>
    <col min="165" max="165" width="12.109375" bestFit="1" customWidth="1"/>
    <col min="166" max="166" width="9.6640625" bestFit="1" customWidth="1"/>
    <col min="167" max="167" width="12.109375" bestFit="1" customWidth="1"/>
    <col min="168" max="168" width="9.6640625" bestFit="1" customWidth="1"/>
    <col min="169" max="169" width="12.109375" bestFit="1" customWidth="1"/>
    <col min="170" max="170" width="9.6640625" bestFit="1" customWidth="1"/>
    <col min="171" max="171" width="12.109375" bestFit="1" customWidth="1"/>
    <col min="172" max="172" width="9.6640625" bestFit="1" customWidth="1"/>
    <col min="173" max="173" width="12.109375" bestFit="1" customWidth="1"/>
    <col min="174" max="174" width="9.6640625" bestFit="1" customWidth="1"/>
    <col min="175" max="175" width="12.109375" bestFit="1" customWidth="1"/>
    <col min="176" max="176" width="9.6640625" bestFit="1" customWidth="1"/>
    <col min="177" max="177" width="12.109375" bestFit="1" customWidth="1"/>
    <col min="178" max="178" width="9.6640625" bestFit="1" customWidth="1"/>
    <col min="179" max="179" width="12.109375" bestFit="1" customWidth="1"/>
    <col min="180" max="180" width="9.6640625" bestFit="1" customWidth="1"/>
    <col min="181" max="181" width="12.109375" bestFit="1" customWidth="1"/>
    <col min="182" max="182" width="9.6640625" bestFit="1" customWidth="1"/>
    <col min="183" max="183" width="12.109375" bestFit="1" customWidth="1"/>
    <col min="184" max="184" width="9.6640625" bestFit="1" customWidth="1"/>
    <col min="185" max="185" width="12.109375" bestFit="1" customWidth="1"/>
    <col min="186" max="186" width="9.6640625" bestFit="1" customWidth="1"/>
    <col min="187" max="187" width="12.109375" bestFit="1" customWidth="1"/>
    <col min="188" max="188" width="9.6640625" bestFit="1" customWidth="1"/>
    <col min="189" max="189" width="12.109375" bestFit="1" customWidth="1"/>
    <col min="190" max="190" width="8.5546875" bestFit="1" customWidth="1"/>
    <col min="191" max="191" width="11" bestFit="1" customWidth="1"/>
    <col min="192" max="192" width="9.6640625" bestFit="1" customWidth="1"/>
    <col min="193" max="193" width="12.109375" bestFit="1" customWidth="1"/>
    <col min="194" max="194" width="9.6640625" bestFit="1" customWidth="1"/>
    <col min="195" max="195" width="12.109375" bestFit="1" customWidth="1"/>
    <col min="196" max="196" width="9.6640625" bestFit="1" customWidth="1"/>
    <col min="197" max="197" width="12.109375" bestFit="1" customWidth="1"/>
    <col min="198" max="198" width="8.5546875" bestFit="1" customWidth="1"/>
    <col min="199" max="199" width="11" bestFit="1" customWidth="1"/>
    <col min="200" max="200" width="9.6640625" bestFit="1" customWidth="1"/>
    <col min="201" max="201" width="12.109375" bestFit="1" customWidth="1"/>
    <col min="202" max="202" width="9.6640625" bestFit="1" customWidth="1"/>
    <col min="203" max="203" width="12.109375" bestFit="1" customWidth="1"/>
    <col min="204" max="204" width="9.6640625" bestFit="1" customWidth="1"/>
    <col min="205" max="205" width="12.109375" bestFit="1" customWidth="1"/>
    <col min="206" max="206" width="9.6640625" bestFit="1" customWidth="1"/>
    <col min="207" max="207" width="12.109375" bestFit="1" customWidth="1"/>
    <col min="208" max="208" width="9.6640625" bestFit="1" customWidth="1"/>
    <col min="209" max="209" width="12.109375" bestFit="1" customWidth="1"/>
    <col min="210" max="210" width="9.6640625" bestFit="1" customWidth="1"/>
    <col min="211" max="211" width="12.109375" bestFit="1" customWidth="1"/>
    <col min="212" max="212" width="8.5546875" bestFit="1" customWidth="1"/>
    <col min="213" max="213" width="11" bestFit="1" customWidth="1"/>
    <col min="214" max="214" width="9.6640625" bestFit="1" customWidth="1"/>
    <col min="215" max="215" width="12.109375" bestFit="1" customWidth="1"/>
    <col min="216" max="216" width="9.6640625" bestFit="1" customWidth="1"/>
    <col min="217" max="217" width="12.109375" bestFit="1" customWidth="1"/>
    <col min="218" max="218" width="9.6640625" bestFit="1" customWidth="1"/>
    <col min="219" max="219" width="12.109375" bestFit="1" customWidth="1"/>
    <col min="220" max="220" width="8.5546875" bestFit="1" customWidth="1"/>
    <col min="221" max="221" width="11" bestFit="1" customWidth="1"/>
    <col min="222" max="222" width="9.6640625" bestFit="1" customWidth="1"/>
    <col min="223" max="223" width="12.109375" bestFit="1" customWidth="1"/>
    <col min="224" max="224" width="8.5546875" bestFit="1" customWidth="1"/>
    <col min="225" max="225" width="11" bestFit="1" customWidth="1"/>
    <col min="226" max="226" width="9.6640625" bestFit="1" customWidth="1"/>
    <col min="227" max="227" width="12.109375" bestFit="1" customWidth="1"/>
    <col min="228" max="228" width="8.5546875" bestFit="1" customWidth="1"/>
    <col min="229" max="229" width="11" bestFit="1" customWidth="1"/>
    <col min="230" max="230" width="9.6640625" bestFit="1" customWidth="1"/>
    <col min="231" max="231" width="12.109375" bestFit="1" customWidth="1"/>
    <col min="232" max="232" width="9.6640625" bestFit="1" customWidth="1"/>
    <col min="233" max="233" width="12.109375" bestFit="1" customWidth="1"/>
    <col min="234" max="234" width="9.6640625" bestFit="1" customWidth="1"/>
    <col min="235" max="235" width="12.109375" bestFit="1" customWidth="1"/>
    <col min="236" max="236" width="9.6640625" bestFit="1" customWidth="1"/>
    <col min="237" max="237" width="12.109375" bestFit="1" customWidth="1"/>
    <col min="238" max="238" width="9.6640625" bestFit="1" customWidth="1"/>
    <col min="239" max="239" width="12.109375" bestFit="1" customWidth="1"/>
    <col min="240" max="240" width="9.6640625" bestFit="1" customWidth="1"/>
    <col min="241" max="241" width="12.109375" bestFit="1" customWidth="1"/>
    <col min="242" max="242" width="9.6640625" bestFit="1" customWidth="1"/>
    <col min="243" max="243" width="12.109375" bestFit="1" customWidth="1"/>
    <col min="244" max="244" width="9.6640625" bestFit="1" customWidth="1"/>
    <col min="245" max="245" width="12.109375" bestFit="1" customWidth="1"/>
    <col min="246" max="246" width="9.6640625" bestFit="1" customWidth="1"/>
    <col min="247" max="247" width="12.109375" bestFit="1" customWidth="1"/>
    <col min="248" max="248" width="9.6640625" bestFit="1" customWidth="1"/>
    <col min="249" max="249" width="12.109375" bestFit="1" customWidth="1"/>
    <col min="250" max="250" width="9.6640625" bestFit="1" customWidth="1"/>
    <col min="251" max="251" width="12.109375" bestFit="1" customWidth="1"/>
    <col min="252" max="252" width="9.6640625" bestFit="1" customWidth="1"/>
    <col min="253" max="253" width="12.109375" bestFit="1" customWidth="1"/>
    <col min="254" max="254" width="9.6640625" bestFit="1" customWidth="1"/>
    <col min="255" max="255" width="12.109375" bestFit="1" customWidth="1"/>
    <col min="256" max="256" width="9.6640625" bestFit="1" customWidth="1"/>
    <col min="257" max="257" width="12.109375" bestFit="1" customWidth="1"/>
    <col min="258" max="258" width="9.6640625" bestFit="1" customWidth="1"/>
    <col min="259" max="259" width="12.109375" bestFit="1" customWidth="1"/>
    <col min="260" max="260" width="9.6640625" bestFit="1" customWidth="1"/>
    <col min="261" max="261" width="12.109375" bestFit="1" customWidth="1"/>
    <col min="262" max="262" width="9.6640625" bestFit="1" customWidth="1"/>
    <col min="263" max="263" width="12.109375" bestFit="1" customWidth="1"/>
    <col min="264" max="264" width="8.5546875" bestFit="1" customWidth="1"/>
    <col min="265" max="265" width="11" bestFit="1" customWidth="1"/>
    <col min="266" max="266" width="9.6640625" bestFit="1" customWidth="1"/>
    <col min="267" max="267" width="12.109375" bestFit="1" customWidth="1"/>
    <col min="268" max="268" width="9.6640625" bestFit="1" customWidth="1"/>
    <col min="269" max="269" width="12.109375" bestFit="1" customWidth="1"/>
    <col min="270" max="270" width="10.77734375" bestFit="1" customWidth="1"/>
    <col min="271" max="271" width="13.21875" bestFit="1" customWidth="1"/>
    <col min="272" max="272" width="10.77734375" bestFit="1" customWidth="1"/>
    <col min="273" max="273" width="13.21875" bestFit="1" customWidth="1"/>
    <col min="274" max="274" width="10.77734375" bestFit="1" customWidth="1"/>
    <col min="275" max="275" width="13.21875" bestFit="1" customWidth="1"/>
    <col min="276" max="276" width="10.77734375" bestFit="1" customWidth="1"/>
    <col min="277" max="277" width="13.21875" bestFit="1" customWidth="1"/>
    <col min="278" max="278" width="10.77734375" bestFit="1" customWidth="1"/>
    <col min="279" max="279" width="13.21875" bestFit="1" customWidth="1"/>
    <col min="280" max="280" width="9.6640625" bestFit="1" customWidth="1"/>
    <col min="281" max="281" width="12.109375" bestFit="1" customWidth="1"/>
    <col min="282" max="282" width="10.77734375" bestFit="1" customWidth="1"/>
    <col min="283" max="283" width="13.21875" bestFit="1" customWidth="1"/>
    <col min="284" max="284" width="10.77734375" bestFit="1" customWidth="1"/>
    <col min="285" max="285" width="13.21875" bestFit="1" customWidth="1"/>
    <col min="286" max="286" width="10.77734375" bestFit="1" customWidth="1"/>
    <col min="287" max="287" width="13.21875" bestFit="1" customWidth="1"/>
    <col min="288" max="288" width="10.77734375" bestFit="1" customWidth="1"/>
    <col min="289" max="289" width="13.21875" bestFit="1" customWidth="1"/>
    <col min="290" max="290" width="10.77734375" bestFit="1" customWidth="1"/>
    <col min="291" max="291" width="13.21875" bestFit="1" customWidth="1"/>
    <col min="292" max="292" width="10.77734375" bestFit="1" customWidth="1"/>
    <col min="293" max="293" width="13.21875" bestFit="1" customWidth="1"/>
    <col min="294" max="294" width="10.77734375" bestFit="1" customWidth="1"/>
    <col min="295" max="295" width="13.21875" bestFit="1" customWidth="1"/>
    <col min="296" max="296" width="10.77734375" bestFit="1" customWidth="1"/>
    <col min="297" max="297" width="13.21875" bestFit="1" customWidth="1"/>
    <col min="298" max="298" width="10.77734375" bestFit="1" customWidth="1"/>
    <col min="299" max="299" width="13.21875" bestFit="1" customWidth="1"/>
    <col min="300" max="300" width="10.77734375" bestFit="1" customWidth="1"/>
    <col min="301" max="301" width="13.21875" bestFit="1" customWidth="1"/>
    <col min="302" max="302" width="10.77734375" bestFit="1" customWidth="1"/>
    <col min="303" max="303" width="13.21875" bestFit="1" customWidth="1"/>
    <col min="304" max="304" width="10.77734375" bestFit="1" customWidth="1"/>
    <col min="305" max="305" width="13.21875" bestFit="1" customWidth="1"/>
    <col min="306" max="306" width="9.6640625" bestFit="1" customWidth="1"/>
    <col min="307" max="307" width="12.109375" bestFit="1" customWidth="1"/>
    <col min="308" max="308" width="10.77734375" bestFit="1" customWidth="1"/>
    <col min="309" max="309" width="13.21875" bestFit="1" customWidth="1"/>
    <col min="310" max="310" width="10.77734375" bestFit="1" customWidth="1"/>
    <col min="311" max="311" width="13.21875" bestFit="1" customWidth="1"/>
    <col min="312" max="312" width="10.77734375" bestFit="1" customWidth="1"/>
    <col min="313" max="313" width="13.21875" bestFit="1" customWidth="1"/>
    <col min="314" max="314" width="11.21875" bestFit="1" customWidth="1"/>
    <col min="315" max="315" width="7" bestFit="1" customWidth="1"/>
    <col min="316" max="316" width="12.109375" bestFit="1" customWidth="1"/>
    <col min="317" max="317" width="9.6640625" bestFit="1" customWidth="1"/>
    <col min="318" max="318" width="9.88671875" bestFit="1" customWidth="1"/>
    <col min="319" max="319" width="12.109375" bestFit="1" customWidth="1"/>
    <col min="320" max="320" width="9.6640625" bestFit="1" customWidth="1"/>
    <col min="321" max="321" width="11" bestFit="1" customWidth="1"/>
    <col min="322" max="322" width="12.109375" bestFit="1" customWidth="1"/>
    <col min="323" max="323" width="8.5546875" bestFit="1" customWidth="1"/>
    <col min="324" max="325" width="11" bestFit="1" customWidth="1"/>
    <col min="326" max="326" width="9.6640625" bestFit="1" customWidth="1"/>
    <col min="327" max="327" width="7" bestFit="1" customWidth="1"/>
    <col min="328" max="328" width="12.109375" bestFit="1" customWidth="1"/>
    <col min="329" max="329" width="9.6640625" bestFit="1" customWidth="1"/>
    <col min="330" max="330" width="12.109375" bestFit="1" customWidth="1"/>
    <col min="331" max="331" width="11" bestFit="1" customWidth="1"/>
    <col min="332" max="332" width="9.6640625" bestFit="1" customWidth="1"/>
    <col min="333" max="333" width="11" bestFit="1" customWidth="1"/>
    <col min="334" max="334" width="12.109375" bestFit="1" customWidth="1"/>
    <col min="335" max="335" width="8.5546875" bestFit="1" customWidth="1"/>
    <col min="336" max="337" width="11" bestFit="1" customWidth="1"/>
    <col min="338" max="338" width="9.6640625" bestFit="1" customWidth="1"/>
    <col min="339" max="340" width="12.109375" bestFit="1" customWidth="1"/>
    <col min="341" max="341" width="9.6640625" bestFit="1" customWidth="1"/>
    <col min="342" max="343" width="12.109375" bestFit="1" customWidth="1"/>
    <col min="344" max="344" width="9.6640625" bestFit="1" customWidth="1"/>
    <col min="345" max="346" width="12.109375" bestFit="1" customWidth="1"/>
    <col min="347" max="347" width="9.6640625" bestFit="1" customWidth="1"/>
    <col min="348" max="348" width="9.88671875" bestFit="1" customWidth="1"/>
    <col min="349" max="349" width="12.109375" bestFit="1" customWidth="1"/>
    <col min="350" max="350" width="9.6640625" bestFit="1" customWidth="1"/>
    <col min="351" max="352" width="12.109375" bestFit="1" customWidth="1"/>
    <col min="353" max="353" width="9.6640625" bestFit="1" customWidth="1"/>
    <col min="354" max="354" width="11" bestFit="1" customWidth="1"/>
    <col min="355" max="355" width="12.109375" bestFit="1" customWidth="1"/>
    <col min="356" max="356" width="9.6640625" bestFit="1" customWidth="1"/>
    <col min="357" max="358" width="12.109375" bestFit="1" customWidth="1"/>
    <col min="359" max="359" width="9.6640625" bestFit="1" customWidth="1"/>
    <col min="360" max="361" width="12.109375" bestFit="1" customWidth="1"/>
    <col min="362" max="362" width="9.6640625" bestFit="1" customWidth="1"/>
    <col min="363" max="364" width="12.109375" bestFit="1" customWidth="1"/>
    <col min="365" max="365" width="9.6640625" bestFit="1" customWidth="1"/>
    <col min="366" max="366" width="11" bestFit="1" customWidth="1"/>
    <col min="367" max="367" width="12.109375" bestFit="1" customWidth="1"/>
    <col min="368" max="368" width="9.6640625" bestFit="1" customWidth="1"/>
    <col min="369" max="369" width="11" bestFit="1" customWidth="1"/>
    <col min="370" max="370" width="12.109375" bestFit="1" customWidth="1"/>
    <col min="371" max="371" width="9.6640625" bestFit="1" customWidth="1"/>
    <col min="372" max="373" width="12.109375" bestFit="1" customWidth="1"/>
    <col min="374" max="374" width="9.6640625" bestFit="1" customWidth="1"/>
    <col min="375" max="375" width="7" bestFit="1" customWidth="1"/>
    <col min="376" max="376" width="12.109375" bestFit="1" customWidth="1"/>
    <col min="377" max="377" width="9.6640625" bestFit="1" customWidth="1"/>
    <col min="378" max="379" width="12.109375" bestFit="1" customWidth="1"/>
    <col min="380" max="380" width="9.6640625" bestFit="1" customWidth="1"/>
    <col min="381" max="382" width="12.109375" bestFit="1" customWidth="1"/>
    <col min="383" max="383" width="9.6640625" bestFit="1" customWidth="1"/>
    <col min="384" max="384" width="11" bestFit="1" customWidth="1"/>
    <col min="385" max="385" width="12.109375" bestFit="1" customWidth="1"/>
    <col min="386" max="386" width="9.6640625" bestFit="1" customWidth="1"/>
    <col min="387" max="387" width="11" bestFit="1" customWidth="1"/>
    <col min="388" max="388" width="12.109375" bestFit="1" customWidth="1"/>
    <col min="389" max="389" width="8.5546875" bestFit="1" customWidth="1"/>
    <col min="390" max="390" width="7" bestFit="1" customWidth="1"/>
    <col min="391" max="391" width="11" bestFit="1" customWidth="1"/>
    <col min="392" max="392" width="9.6640625" bestFit="1" customWidth="1"/>
    <col min="393" max="394" width="12.109375" bestFit="1" customWidth="1"/>
    <col min="395" max="395" width="9.6640625" bestFit="1" customWidth="1"/>
    <col min="396" max="397" width="12.109375" bestFit="1" customWidth="1"/>
    <col min="398" max="398" width="10.77734375" bestFit="1" customWidth="1"/>
    <col min="399" max="399" width="7" bestFit="1" customWidth="1"/>
    <col min="400" max="400" width="13.21875" bestFit="1" customWidth="1"/>
    <col min="401" max="401" width="10.77734375" bestFit="1" customWidth="1"/>
    <col min="402" max="402" width="11" bestFit="1" customWidth="1"/>
    <col min="403" max="403" width="13.21875" bestFit="1" customWidth="1"/>
    <col min="404" max="404" width="10.77734375" bestFit="1" customWidth="1"/>
    <col min="405" max="405" width="12.109375" bestFit="1" customWidth="1"/>
    <col min="406" max="406" width="13.21875" bestFit="1" customWidth="1"/>
    <col min="407" max="407" width="10.77734375" bestFit="1" customWidth="1"/>
    <col min="408" max="408" width="12.109375" bestFit="1" customWidth="1"/>
    <col min="409" max="409" width="13.21875" bestFit="1" customWidth="1"/>
    <col min="410" max="410" width="10.77734375" bestFit="1" customWidth="1"/>
    <col min="411" max="411" width="12.109375" bestFit="1" customWidth="1"/>
    <col min="412" max="412" width="13.21875" bestFit="1" customWidth="1"/>
    <col min="413" max="413" width="9.6640625" bestFit="1" customWidth="1"/>
    <col min="414" max="414" width="11" bestFit="1" customWidth="1"/>
    <col min="415" max="415" width="12.109375" bestFit="1" customWidth="1"/>
    <col min="416" max="416" width="10.77734375" bestFit="1" customWidth="1"/>
    <col min="417" max="417" width="12.109375" bestFit="1" customWidth="1"/>
    <col min="418" max="418" width="13.21875" bestFit="1" customWidth="1"/>
    <col min="419" max="419" width="10.77734375" bestFit="1" customWidth="1"/>
    <col min="420" max="420" width="12.109375" bestFit="1" customWidth="1"/>
    <col min="421" max="421" width="13.21875" bestFit="1" customWidth="1"/>
    <col min="422" max="422" width="10.77734375" bestFit="1" customWidth="1"/>
    <col min="423" max="423" width="12.109375" bestFit="1" customWidth="1"/>
    <col min="424" max="424" width="13.21875" bestFit="1" customWidth="1"/>
    <col min="425" max="425" width="10.77734375" bestFit="1" customWidth="1"/>
    <col min="426" max="426" width="12.109375" bestFit="1" customWidth="1"/>
    <col min="427" max="427" width="13.21875" bestFit="1" customWidth="1"/>
    <col min="428" max="428" width="10.77734375" bestFit="1" customWidth="1"/>
    <col min="429" max="429" width="12.109375" bestFit="1" customWidth="1"/>
    <col min="430" max="430" width="13.21875" bestFit="1" customWidth="1"/>
    <col min="431" max="431" width="10.77734375" bestFit="1" customWidth="1"/>
    <col min="432" max="432" width="12.109375" bestFit="1" customWidth="1"/>
    <col min="433" max="433" width="13.21875" bestFit="1" customWidth="1"/>
    <col min="434" max="434" width="10.77734375" bestFit="1" customWidth="1"/>
    <col min="435" max="435" width="12.109375" bestFit="1" customWidth="1"/>
    <col min="436" max="436" width="13.21875" bestFit="1" customWidth="1"/>
    <col min="437" max="437" width="10.77734375" bestFit="1" customWidth="1"/>
    <col min="438" max="438" width="7" bestFit="1" customWidth="1"/>
    <col min="439" max="439" width="13.21875" bestFit="1" customWidth="1"/>
    <col min="440" max="440" width="10.77734375" bestFit="1" customWidth="1"/>
    <col min="441" max="441" width="12.109375" bestFit="1" customWidth="1"/>
    <col min="442" max="442" width="13.21875" bestFit="1" customWidth="1"/>
    <col min="443" max="443" width="10.77734375" bestFit="1" customWidth="1"/>
    <col min="444" max="444" width="7" bestFit="1" customWidth="1"/>
    <col min="445" max="445" width="13.21875" bestFit="1" customWidth="1"/>
    <col min="446" max="446" width="10.77734375" bestFit="1" customWidth="1"/>
    <col min="447" max="447" width="12.109375" bestFit="1" customWidth="1"/>
    <col min="448" max="448" width="13.21875" bestFit="1" customWidth="1"/>
    <col min="449" max="449" width="10.77734375" bestFit="1" customWidth="1"/>
    <col min="450" max="450" width="12.109375" bestFit="1" customWidth="1"/>
    <col min="451" max="451" width="13.21875" bestFit="1" customWidth="1"/>
    <col min="452" max="452" width="9.6640625" bestFit="1" customWidth="1"/>
    <col min="453" max="453" width="7" bestFit="1" customWidth="1"/>
    <col min="454" max="454" width="12.109375" bestFit="1" customWidth="1"/>
    <col min="455" max="455" width="10.77734375" bestFit="1" customWidth="1"/>
    <col min="456" max="456" width="7" bestFit="1" customWidth="1"/>
    <col min="457" max="457" width="13.21875" bestFit="1" customWidth="1"/>
    <col min="458" max="458" width="10.77734375" bestFit="1" customWidth="1"/>
    <col min="459" max="459" width="12.109375" bestFit="1" customWidth="1"/>
    <col min="460" max="460" width="13.21875" bestFit="1" customWidth="1"/>
    <col min="461" max="461" width="10.77734375" bestFit="1" customWidth="1"/>
    <col min="462" max="462" width="7" bestFit="1" customWidth="1"/>
    <col min="463" max="463" width="13.21875" bestFit="1" customWidth="1"/>
    <col min="464" max="464" width="11.21875" bestFit="1" customWidth="1"/>
    <col min="465" max="465" width="12.109375" bestFit="1" customWidth="1"/>
    <col min="466" max="466" width="9.6640625" bestFit="1" customWidth="1"/>
    <col min="467" max="467" width="7" bestFit="1" customWidth="1"/>
    <col min="468" max="468" width="11" bestFit="1" customWidth="1"/>
    <col min="469" max="469" width="12.109375" bestFit="1" customWidth="1"/>
    <col min="470" max="470" width="9.6640625" bestFit="1" customWidth="1"/>
    <col min="471" max="471" width="7" bestFit="1" customWidth="1"/>
    <col min="472" max="473" width="12.109375" bestFit="1" customWidth="1"/>
    <col min="474" max="474" width="9.6640625" bestFit="1" customWidth="1"/>
    <col min="475" max="475" width="7" bestFit="1" customWidth="1"/>
    <col min="476" max="477" width="12.109375" bestFit="1" customWidth="1"/>
    <col min="478" max="478" width="9.6640625" bestFit="1" customWidth="1"/>
    <col min="479" max="479" width="7" bestFit="1" customWidth="1"/>
    <col min="480" max="481" width="12.109375" bestFit="1" customWidth="1"/>
    <col min="482" max="482" width="9.6640625" bestFit="1" customWidth="1"/>
    <col min="483" max="483" width="7" bestFit="1" customWidth="1"/>
    <col min="484" max="484" width="11" bestFit="1" customWidth="1"/>
    <col min="485" max="485" width="12.109375" bestFit="1" customWidth="1"/>
    <col min="486" max="486" width="9.6640625" bestFit="1" customWidth="1"/>
    <col min="487" max="487" width="7" bestFit="1" customWidth="1"/>
    <col min="488" max="488" width="11" bestFit="1" customWidth="1"/>
    <col min="489" max="489" width="12.109375" bestFit="1" customWidth="1"/>
    <col min="490" max="490" width="9.6640625" bestFit="1" customWidth="1"/>
    <col min="491" max="491" width="7" bestFit="1" customWidth="1"/>
    <col min="492" max="493" width="12.109375" bestFit="1" customWidth="1"/>
    <col min="494" max="494" width="9.6640625" bestFit="1" customWidth="1"/>
    <col min="495" max="496" width="7" bestFit="1" customWidth="1"/>
    <col min="497" max="497" width="12.109375" bestFit="1" customWidth="1"/>
    <col min="498" max="498" width="9.6640625" bestFit="1" customWidth="1"/>
    <col min="499" max="499" width="7" bestFit="1" customWidth="1"/>
    <col min="500" max="501" width="12.109375" bestFit="1" customWidth="1"/>
    <col min="502" max="502" width="9.6640625" bestFit="1" customWidth="1"/>
    <col min="503" max="503" width="7" bestFit="1" customWidth="1"/>
    <col min="504" max="505" width="12.109375" bestFit="1" customWidth="1"/>
    <col min="506" max="506" width="9.6640625" bestFit="1" customWidth="1"/>
    <col min="507" max="507" width="7" bestFit="1" customWidth="1"/>
    <col min="508" max="508" width="11" bestFit="1" customWidth="1"/>
    <col min="509" max="509" width="12.109375" bestFit="1" customWidth="1"/>
    <col min="510" max="510" width="9.6640625" bestFit="1" customWidth="1"/>
    <col min="511" max="511" width="7" bestFit="1" customWidth="1"/>
    <col min="512" max="512" width="11" bestFit="1" customWidth="1"/>
    <col min="513" max="513" width="12.109375" bestFit="1" customWidth="1"/>
    <col min="514" max="514" width="8.5546875" bestFit="1" customWidth="1"/>
    <col min="515" max="516" width="7" bestFit="1" customWidth="1"/>
    <col min="517" max="517" width="11" bestFit="1" customWidth="1"/>
    <col min="518" max="518" width="9.6640625" bestFit="1" customWidth="1"/>
    <col min="519" max="519" width="7" bestFit="1" customWidth="1"/>
    <col min="520" max="521" width="12.109375" bestFit="1" customWidth="1"/>
    <col min="522" max="522" width="9.6640625" bestFit="1" customWidth="1"/>
    <col min="523" max="523" width="7" bestFit="1" customWidth="1"/>
    <col min="524" max="525" width="12.109375" bestFit="1" customWidth="1"/>
    <col min="526" max="526" width="10.77734375" bestFit="1" customWidth="1"/>
    <col min="527" max="528" width="7" bestFit="1" customWidth="1"/>
    <col min="529" max="529" width="13.21875" bestFit="1" customWidth="1"/>
    <col min="530" max="530" width="10.77734375" bestFit="1" customWidth="1"/>
    <col min="531" max="531" width="7" bestFit="1" customWidth="1"/>
    <col min="532" max="532" width="11" bestFit="1" customWidth="1"/>
    <col min="533" max="533" width="13.21875" bestFit="1" customWidth="1"/>
    <col min="534" max="534" width="10.77734375" bestFit="1" customWidth="1"/>
    <col min="535" max="535" width="7" bestFit="1" customWidth="1"/>
    <col min="536" max="536" width="12.109375" bestFit="1" customWidth="1"/>
    <col min="537" max="537" width="13.21875" bestFit="1" customWidth="1"/>
    <col min="538" max="538" width="10.77734375" bestFit="1" customWidth="1"/>
    <col min="539" max="539" width="7" bestFit="1" customWidth="1"/>
    <col min="540" max="540" width="12.109375" bestFit="1" customWidth="1"/>
    <col min="541" max="541" width="13.21875" bestFit="1" customWidth="1"/>
    <col min="542" max="542" width="10.77734375" bestFit="1" customWidth="1"/>
    <col min="543" max="543" width="7" bestFit="1" customWidth="1"/>
    <col min="544" max="544" width="12.109375" bestFit="1" customWidth="1"/>
    <col min="545" max="545" width="13.21875" bestFit="1" customWidth="1"/>
    <col min="546" max="546" width="9.6640625" bestFit="1" customWidth="1"/>
    <col min="547" max="547" width="7" bestFit="1" customWidth="1"/>
    <col min="548" max="548" width="11" bestFit="1" customWidth="1"/>
    <col min="549" max="549" width="12.109375" bestFit="1" customWidth="1"/>
    <col min="550" max="550" width="10.77734375" bestFit="1" customWidth="1"/>
    <col min="551" max="551" width="7" bestFit="1" customWidth="1"/>
    <col min="552" max="552" width="12.109375" bestFit="1" customWidth="1"/>
    <col min="553" max="553" width="13.21875" bestFit="1" customWidth="1"/>
    <col min="554" max="554" width="10.77734375" bestFit="1" customWidth="1"/>
    <col min="555" max="555" width="7" bestFit="1" customWidth="1"/>
    <col min="556" max="556" width="12.109375" bestFit="1" customWidth="1"/>
    <col min="557" max="557" width="13.21875" bestFit="1" customWidth="1"/>
    <col min="558" max="558" width="10.77734375" bestFit="1" customWidth="1"/>
    <col min="559" max="559" width="7" bestFit="1" customWidth="1"/>
    <col min="560" max="560" width="12.109375" bestFit="1" customWidth="1"/>
    <col min="561" max="561" width="13.21875" bestFit="1" customWidth="1"/>
    <col min="562" max="562" width="10.77734375" bestFit="1" customWidth="1"/>
    <col min="563" max="563" width="7" bestFit="1" customWidth="1"/>
    <col min="564" max="564" width="12.109375" bestFit="1" customWidth="1"/>
    <col min="565" max="565" width="13.21875" bestFit="1" customWidth="1"/>
    <col min="566" max="566" width="10.77734375" bestFit="1" customWidth="1"/>
    <col min="567" max="567" width="7" bestFit="1" customWidth="1"/>
    <col min="568" max="568" width="12.109375" bestFit="1" customWidth="1"/>
    <col min="569" max="569" width="13.21875" bestFit="1" customWidth="1"/>
    <col min="570" max="570" width="10.77734375" bestFit="1" customWidth="1"/>
    <col min="571" max="571" width="7" bestFit="1" customWidth="1"/>
    <col min="572" max="572" width="12.109375" bestFit="1" customWidth="1"/>
    <col min="573" max="573" width="13.21875" bestFit="1" customWidth="1"/>
    <col min="574" max="574" width="10.77734375" bestFit="1" customWidth="1"/>
    <col min="575" max="575" width="7" bestFit="1" customWidth="1"/>
    <col min="576" max="576" width="12.109375" bestFit="1" customWidth="1"/>
    <col min="577" max="577" width="13.21875" bestFit="1" customWidth="1"/>
    <col min="578" max="578" width="10.77734375" bestFit="1" customWidth="1"/>
    <col min="579" max="580" width="7" bestFit="1" customWidth="1"/>
    <col min="581" max="581" width="13.21875" bestFit="1" customWidth="1"/>
    <col min="582" max="582" width="10.77734375" bestFit="1" customWidth="1"/>
    <col min="583" max="583" width="7" bestFit="1" customWidth="1"/>
    <col min="584" max="584" width="12.109375" bestFit="1" customWidth="1"/>
    <col min="585" max="585" width="13.21875" bestFit="1" customWidth="1"/>
    <col min="586" max="586" width="10.77734375" bestFit="1" customWidth="1"/>
    <col min="587" max="588" width="7" bestFit="1" customWidth="1"/>
    <col min="589" max="589" width="13.21875" bestFit="1" customWidth="1"/>
    <col min="590" max="590" width="10.77734375" bestFit="1" customWidth="1"/>
    <col min="591" max="591" width="7" bestFit="1" customWidth="1"/>
    <col min="592" max="592" width="12.109375" bestFit="1" customWidth="1"/>
    <col min="593" max="593" width="13.21875" bestFit="1" customWidth="1"/>
    <col min="594" max="594" width="10.77734375" bestFit="1" customWidth="1"/>
    <col min="595" max="595" width="7" bestFit="1" customWidth="1"/>
    <col min="596" max="596" width="12.109375" bestFit="1" customWidth="1"/>
    <col min="597" max="597" width="13.21875" bestFit="1" customWidth="1"/>
    <col min="598" max="598" width="9.6640625" bestFit="1" customWidth="1"/>
    <col min="599" max="600" width="7" bestFit="1" customWidth="1"/>
    <col min="601" max="601" width="12.109375" bestFit="1" customWidth="1"/>
    <col min="602" max="602" width="10.77734375" bestFit="1" customWidth="1"/>
    <col min="603" max="604" width="7" bestFit="1" customWidth="1"/>
    <col min="605" max="605" width="13.21875" bestFit="1" customWidth="1"/>
    <col min="606" max="606" width="10.77734375" bestFit="1" customWidth="1"/>
    <col min="607" max="607" width="7" bestFit="1" customWidth="1"/>
    <col min="608" max="608" width="12.109375" bestFit="1" customWidth="1"/>
    <col min="609" max="609" width="13.21875" bestFit="1" customWidth="1"/>
    <col min="610" max="610" width="10.77734375" bestFit="1" customWidth="1"/>
    <col min="611" max="612" width="7" bestFit="1" customWidth="1"/>
    <col min="613" max="613" width="13.21875" bestFit="1" customWidth="1"/>
    <col min="614" max="614" width="11.21875" bestFit="1" customWidth="1"/>
    <col min="615" max="617" width="7" bestFit="1" customWidth="1"/>
    <col min="618" max="618" width="12.109375" bestFit="1" customWidth="1"/>
    <col min="619" max="619" width="9.6640625" bestFit="1" customWidth="1"/>
    <col min="620" max="620" width="7" bestFit="1" customWidth="1"/>
    <col min="621" max="623" width="12.109375" bestFit="1" customWidth="1"/>
    <col min="624" max="624" width="9.6640625" bestFit="1" customWidth="1"/>
    <col min="625" max="626" width="7" bestFit="1" customWidth="1"/>
    <col min="627" max="628" width="12.109375" bestFit="1" customWidth="1"/>
    <col min="629" max="629" width="9.6640625" bestFit="1" customWidth="1"/>
    <col min="630" max="631" width="7" bestFit="1" customWidth="1"/>
    <col min="632" max="632" width="11" bestFit="1" customWidth="1"/>
    <col min="633" max="633" width="12.109375" bestFit="1" customWidth="1"/>
    <col min="634" max="634" width="9.6640625" bestFit="1" customWidth="1"/>
    <col min="635" max="635" width="7" bestFit="1" customWidth="1"/>
    <col min="636" max="637" width="11" bestFit="1" customWidth="1"/>
    <col min="638" max="638" width="12.109375" bestFit="1" customWidth="1"/>
    <col min="639" max="639" width="8.5546875" bestFit="1" customWidth="1"/>
    <col min="640" max="642" width="7" bestFit="1" customWidth="1"/>
    <col min="643" max="643" width="11" bestFit="1" customWidth="1"/>
    <col min="644" max="644" width="9.6640625" bestFit="1" customWidth="1"/>
    <col min="645" max="645" width="7" bestFit="1" customWidth="1"/>
    <col min="646" max="648" width="12.109375" bestFit="1" customWidth="1"/>
    <col min="649" max="649" width="9.6640625" bestFit="1" customWidth="1"/>
    <col min="650" max="650" width="7" bestFit="1" customWidth="1"/>
    <col min="651" max="653" width="12.109375" bestFit="1" customWidth="1"/>
    <col min="654" max="654" width="10.77734375" bestFit="1" customWidth="1"/>
    <col min="655" max="657" width="7" bestFit="1" customWidth="1"/>
    <col min="658" max="658" width="13.21875" bestFit="1" customWidth="1"/>
    <col min="659" max="659" width="10.77734375" bestFit="1" customWidth="1"/>
    <col min="660" max="661" width="7" bestFit="1" customWidth="1"/>
    <col min="662" max="662" width="11" bestFit="1" customWidth="1"/>
    <col min="663" max="663" width="13.21875" bestFit="1" customWidth="1"/>
    <col min="664" max="664" width="10.77734375" bestFit="1" customWidth="1"/>
    <col min="665" max="666" width="7" bestFit="1" customWidth="1"/>
    <col min="667" max="667" width="12.109375" bestFit="1" customWidth="1"/>
    <col min="668" max="668" width="13.21875" bestFit="1" customWidth="1"/>
    <col min="669" max="669" width="10.77734375" bestFit="1" customWidth="1"/>
    <col min="670" max="671" width="7" bestFit="1" customWidth="1"/>
    <col min="672" max="672" width="12.109375" bestFit="1" customWidth="1"/>
    <col min="673" max="673" width="13.21875" bestFit="1" customWidth="1"/>
    <col min="674" max="674" width="10.77734375" bestFit="1" customWidth="1"/>
    <col min="675" max="675" width="7" bestFit="1" customWidth="1"/>
    <col min="676" max="676" width="9.88671875" bestFit="1" customWidth="1"/>
    <col min="677" max="677" width="12.109375" bestFit="1" customWidth="1"/>
    <col min="678" max="678" width="13.21875" bestFit="1" customWidth="1"/>
    <col min="679" max="679" width="9.6640625" bestFit="1" customWidth="1"/>
    <col min="680" max="680" width="7" bestFit="1" customWidth="1"/>
    <col min="681" max="682" width="11" bestFit="1" customWidth="1"/>
    <col min="683" max="683" width="12.109375" bestFit="1" customWidth="1"/>
    <col min="684" max="684" width="10.77734375" bestFit="1" customWidth="1"/>
    <col min="685" max="685" width="7" bestFit="1" customWidth="1"/>
    <col min="686" max="687" width="12.109375" bestFit="1" customWidth="1"/>
    <col min="688" max="688" width="13.21875" bestFit="1" customWidth="1"/>
    <col min="689" max="689" width="10.77734375" bestFit="1" customWidth="1"/>
    <col min="690" max="691" width="7" bestFit="1" customWidth="1"/>
    <col min="692" max="692" width="12.109375" bestFit="1" customWidth="1"/>
    <col min="693" max="693" width="13.21875" bestFit="1" customWidth="1"/>
    <col min="694" max="694" width="10.77734375" bestFit="1" customWidth="1"/>
    <col min="695" max="695" width="7" bestFit="1" customWidth="1"/>
    <col min="696" max="697" width="12.109375" bestFit="1" customWidth="1"/>
    <col min="698" max="698" width="13.21875" bestFit="1" customWidth="1"/>
    <col min="699" max="699" width="10.77734375" bestFit="1" customWidth="1"/>
    <col min="700" max="700" width="7" bestFit="1" customWidth="1"/>
    <col min="701" max="702" width="12.109375" bestFit="1" customWidth="1"/>
    <col min="703" max="703" width="13.21875" bestFit="1" customWidth="1"/>
    <col min="704" max="704" width="10.77734375" bestFit="1" customWidth="1"/>
    <col min="705" max="705" width="7" bestFit="1" customWidth="1"/>
    <col min="706" max="707" width="12.109375" bestFit="1" customWidth="1"/>
    <col min="708" max="708" width="13.21875" bestFit="1" customWidth="1"/>
    <col min="709" max="709" width="10.77734375" bestFit="1" customWidth="1"/>
    <col min="710" max="710" width="7" bestFit="1" customWidth="1"/>
    <col min="711" max="711" width="11" bestFit="1" customWidth="1"/>
    <col min="712" max="712" width="12.109375" bestFit="1" customWidth="1"/>
    <col min="713" max="713" width="13.21875" bestFit="1" customWidth="1"/>
    <col min="714" max="714" width="10.77734375" bestFit="1" customWidth="1"/>
    <col min="715" max="715" width="7" bestFit="1" customWidth="1"/>
    <col min="716" max="717" width="12.109375" bestFit="1" customWidth="1"/>
    <col min="718" max="718" width="13.21875" bestFit="1" customWidth="1"/>
    <col min="719" max="719" width="10.77734375" bestFit="1" customWidth="1"/>
    <col min="720" max="722" width="7" bestFit="1" customWidth="1"/>
    <col min="723" max="723" width="13.21875" bestFit="1" customWidth="1"/>
    <col min="724" max="724" width="10.77734375" bestFit="1" customWidth="1"/>
    <col min="725" max="725" width="7" bestFit="1" customWidth="1"/>
    <col min="726" max="726" width="11" bestFit="1" customWidth="1"/>
    <col min="727" max="727" width="12.109375" bestFit="1" customWidth="1"/>
    <col min="728" max="728" width="13.21875" bestFit="1" customWidth="1"/>
    <col min="729" max="729" width="10.77734375" bestFit="1" customWidth="1"/>
    <col min="730" max="732" width="7" bestFit="1" customWidth="1"/>
    <col min="733" max="733" width="13.21875" bestFit="1" customWidth="1"/>
    <col min="734" max="734" width="10.77734375" bestFit="1" customWidth="1"/>
    <col min="735" max="735" width="7" bestFit="1" customWidth="1"/>
    <col min="736" max="737" width="12.109375" bestFit="1" customWidth="1"/>
    <col min="738" max="738" width="13.21875" bestFit="1" customWidth="1"/>
    <col min="739" max="739" width="10.77734375" bestFit="1" customWidth="1"/>
    <col min="740" max="741" width="7" bestFit="1" customWidth="1"/>
    <col min="742" max="742" width="12.109375" bestFit="1" customWidth="1"/>
    <col min="743" max="743" width="13.21875" bestFit="1" customWidth="1"/>
    <col min="744" max="744" width="9.6640625" bestFit="1" customWidth="1"/>
    <col min="745" max="747" width="7" bestFit="1" customWidth="1"/>
    <col min="748" max="748" width="12.109375" bestFit="1" customWidth="1"/>
    <col min="749" max="749" width="10.77734375" bestFit="1" customWidth="1"/>
    <col min="750" max="752" width="7" bestFit="1" customWidth="1"/>
    <col min="753" max="753" width="13.21875" bestFit="1" customWidth="1"/>
    <col min="754" max="754" width="10.77734375" bestFit="1" customWidth="1"/>
    <col min="755" max="755" width="7" bestFit="1" customWidth="1"/>
    <col min="756" max="757" width="12.109375" bestFit="1" customWidth="1"/>
    <col min="758" max="758" width="13.21875" bestFit="1" customWidth="1"/>
    <col min="759" max="759" width="10.77734375" bestFit="1" customWidth="1"/>
    <col min="760" max="762" width="7" bestFit="1" customWidth="1"/>
    <col min="763" max="763" width="13.21875" bestFit="1" customWidth="1"/>
    <col min="764" max="764" width="11.21875" bestFit="1" customWidth="1"/>
    <col min="765" max="767" width="7" bestFit="1" customWidth="1"/>
    <col min="768" max="768" width="12.109375" bestFit="1" customWidth="1"/>
    <col min="769" max="769" width="11" bestFit="1" customWidth="1"/>
    <col min="770" max="770" width="9.6640625" bestFit="1" customWidth="1"/>
    <col min="771" max="771" width="7" bestFit="1" customWidth="1"/>
    <col min="772" max="775" width="12.109375" bestFit="1" customWidth="1"/>
    <col min="776" max="776" width="9.6640625" bestFit="1" customWidth="1"/>
    <col min="777" max="777" width="7" bestFit="1" customWidth="1"/>
    <col min="778" max="781" width="12.109375" bestFit="1" customWidth="1"/>
    <col min="782" max="782" width="10.77734375" bestFit="1" customWidth="1"/>
    <col min="783" max="785" width="7" bestFit="1" customWidth="1"/>
    <col min="786" max="787" width="13.21875" bestFit="1" customWidth="1"/>
    <col min="788" max="788" width="10.77734375" bestFit="1" customWidth="1"/>
    <col min="789" max="790" width="7" bestFit="1" customWidth="1"/>
    <col min="791" max="791" width="11" bestFit="1" customWidth="1"/>
    <col min="792" max="792" width="10.33203125" bestFit="1" customWidth="1"/>
    <col min="793" max="793" width="13.21875" bestFit="1" customWidth="1"/>
    <col min="794" max="794" width="10.77734375" bestFit="1" customWidth="1"/>
    <col min="795" max="796" width="7" bestFit="1" customWidth="1"/>
    <col min="797" max="797" width="12.109375" bestFit="1" customWidth="1"/>
    <col min="798" max="799" width="13.21875" bestFit="1" customWidth="1"/>
    <col min="800" max="800" width="10.77734375" bestFit="1" customWidth="1"/>
    <col min="801" max="802" width="7" bestFit="1" customWidth="1"/>
    <col min="803" max="803" width="12.109375" bestFit="1" customWidth="1"/>
    <col min="804" max="805" width="13.21875" bestFit="1" customWidth="1"/>
    <col min="806" max="806" width="10.77734375" bestFit="1" customWidth="1"/>
    <col min="807" max="807" width="7" bestFit="1" customWidth="1"/>
    <col min="808" max="808" width="9.88671875" bestFit="1" customWidth="1"/>
    <col min="809" max="809" width="12.109375" bestFit="1" customWidth="1"/>
    <col min="810" max="811" width="13.21875" bestFit="1" customWidth="1"/>
    <col min="812" max="812" width="9.6640625" bestFit="1" customWidth="1"/>
    <col min="813" max="813" width="7" bestFit="1" customWidth="1"/>
    <col min="814" max="816" width="11" bestFit="1" customWidth="1"/>
    <col min="817" max="817" width="12.109375" bestFit="1" customWidth="1"/>
    <col min="818" max="818" width="10.77734375" bestFit="1" customWidth="1"/>
    <col min="819" max="819" width="7" bestFit="1" customWidth="1"/>
    <col min="820" max="821" width="12.109375" bestFit="1" customWidth="1"/>
    <col min="822" max="823" width="13.21875" bestFit="1" customWidth="1"/>
    <col min="824" max="824" width="10.77734375" bestFit="1" customWidth="1"/>
    <col min="825" max="826" width="7" bestFit="1" customWidth="1"/>
    <col min="827" max="828" width="12.109375" bestFit="1" customWidth="1"/>
    <col min="829" max="829" width="13.21875" bestFit="1" customWidth="1"/>
    <col min="830" max="830" width="10.77734375" bestFit="1" customWidth="1"/>
    <col min="831" max="831" width="7" bestFit="1" customWidth="1"/>
    <col min="832" max="834" width="12.109375" bestFit="1" customWidth="1"/>
    <col min="835" max="835" width="13.21875" bestFit="1" customWidth="1"/>
    <col min="836" max="836" width="10.77734375" bestFit="1" customWidth="1"/>
    <col min="837" max="837" width="7" bestFit="1" customWidth="1"/>
    <col min="838" max="839" width="12.109375" bestFit="1" customWidth="1"/>
    <col min="840" max="841" width="13.21875" bestFit="1" customWidth="1"/>
    <col min="842" max="842" width="10.77734375" bestFit="1" customWidth="1"/>
    <col min="843" max="843" width="7" bestFit="1" customWidth="1"/>
    <col min="844" max="846" width="12.109375" bestFit="1" customWidth="1"/>
    <col min="847" max="847" width="13.21875" bestFit="1" customWidth="1"/>
    <col min="848" max="848" width="10.77734375" bestFit="1" customWidth="1"/>
    <col min="849" max="849" width="7" bestFit="1" customWidth="1"/>
    <col min="850" max="850" width="11" bestFit="1" customWidth="1"/>
    <col min="851" max="851" width="12.109375" bestFit="1" customWidth="1"/>
    <col min="852" max="853" width="13.21875" bestFit="1" customWidth="1"/>
    <col min="854" max="854" width="10.77734375" bestFit="1" customWidth="1"/>
    <col min="855" max="855" width="7" bestFit="1" customWidth="1"/>
    <col min="856" max="858" width="12.109375" bestFit="1" customWidth="1"/>
    <col min="859" max="859" width="13.21875" bestFit="1" customWidth="1"/>
    <col min="860" max="860" width="10.77734375" bestFit="1" customWidth="1"/>
    <col min="861" max="863" width="7" bestFit="1" customWidth="1"/>
    <col min="864" max="865" width="13.21875" bestFit="1" customWidth="1"/>
    <col min="866" max="866" width="10.77734375" bestFit="1" customWidth="1"/>
    <col min="867" max="867" width="7" bestFit="1" customWidth="1"/>
    <col min="868" max="868" width="11" bestFit="1" customWidth="1"/>
    <col min="869" max="869" width="12.109375" bestFit="1" customWidth="1"/>
    <col min="870" max="871" width="13.21875" bestFit="1" customWidth="1"/>
    <col min="872" max="872" width="10.77734375" bestFit="1" customWidth="1"/>
    <col min="873" max="875" width="7" bestFit="1" customWidth="1"/>
    <col min="876" max="877" width="13.21875" bestFit="1" customWidth="1"/>
    <col min="878" max="878" width="10.77734375" bestFit="1" customWidth="1"/>
    <col min="879" max="879" width="7" bestFit="1" customWidth="1"/>
    <col min="880" max="882" width="12.109375" bestFit="1" customWidth="1"/>
    <col min="883" max="883" width="13.21875" bestFit="1" customWidth="1"/>
    <col min="884" max="884" width="10.77734375" bestFit="1" customWidth="1"/>
    <col min="885" max="886" width="7" bestFit="1" customWidth="1"/>
    <col min="887" max="887" width="12.109375" bestFit="1" customWidth="1"/>
    <col min="888" max="889" width="13.21875" bestFit="1" customWidth="1"/>
    <col min="890" max="890" width="9.6640625" bestFit="1" customWidth="1"/>
    <col min="891" max="893" width="7" bestFit="1" customWidth="1"/>
    <col min="894" max="895" width="12.109375" bestFit="1" customWidth="1"/>
    <col min="896" max="896" width="10.77734375" bestFit="1" customWidth="1"/>
    <col min="897" max="899" width="7" bestFit="1" customWidth="1"/>
    <col min="900" max="900" width="10.33203125" bestFit="1" customWidth="1"/>
    <col min="901" max="901" width="13.21875" bestFit="1" customWidth="1"/>
    <col min="902" max="902" width="10.77734375" bestFit="1" customWidth="1"/>
    <col min="903" max="903" width="7" bestFit="1" customWidth="1"/>
    <col min="904" max="905" width="12.109375" bestFit="1" customWidth="1"/>
    <col min="906" max="907" width="13.21875" bestFit="1" customWidth="1"/>
    <col min="908" max="908" width="10.77734375" bestFit="1" customWidth="1"/>
    <col min="909" max="911" width="7" bestFit="1" customWidth="1"/>
    <col min="912" max="913" width="13.21875" bestFit="1" customWidth="1"/>
    <col min="914" max="914" width="11.21875" bestFit="1" customWidth="1"/>
    <col min="915" max="916" width="12.109375" bestFit="1" customWidth="1"/>
    <col min="917" max="917" width="10.77734375" bestFit="1" customWidth="1"/>
    <col min="918" max="919" width="7" bestFit="1" customWidth="1"/>
    <col min="920" max="921" width="12.109375" bestFit="1" customWidth="1"/>
    <col min="922" max="923" width="13.21875" bestFit="1" customWidth="1"/>
    <col min="924" max="924" width="10.77734375" bestFit="1" customWidth="1"/>
    <col min="925" max="927" width="7" bestFit="1" customWidth="1"/>
    <col min="928" max="930" width="13.21875" bestFit="1" customWidth="1"/>
    <col min="931" max="931" width="10.77734375" bestFit="1" customWidth="1"/>
    <col min="932" max="934" width="7" bestFit="1" customWidth="1"/>
    <col min="935" max="935" width="12.109375" bestFit="1" customWidth="1"/>
    <col min="936" max="936" width="11" bestFit="1" customWidth="1"/>
    <col min="937" max="937" width="13.21875" bestFit="1" customWidth="1"/>
    <col min="938" max="938" width="10.77734375" bestFit="1" customWidth="1"/>
    <col min="939" max="940" width="7" bestFit="1" customWidth="1"/>
    <col min="941" max="941" width="11" bestFit="1" customWidth="1"/>
    <col min="942" max="943" width="12.109375" bestFit="1" customWidth="1"/>
    <col min="944" max="944" width="13.21875" bestFit="1" customWidth="1"/>
    <col min="945" max="945" width="10.77734375" bestFit="1" customWidth="1"/>
    <col min="946" max="946" width="7" bestFit="1" customWidth="1"/>
    <col min="947" max="949" width="12.109375" bestFit="1" customWidth="1"/>
    <col min="950" max="951" width="13.21875" bestFit="1" customWidth="1"/>
    <col min="952" max="952" width="10.77734375" bestFit="1" customWidth="1"/>
    <col min="953" max="953" width="7" bestFit="1" customWidth="1"/>
    <col min="954" max="956" width="12.109375" bestFit="1" customWidth="1"/>
    <col min="957" max="958" width="13.21875" bestFit="1" customWidth="1"/>
    <col min="959" max="959" width="10.77734375" bestFit="1" customWidth="1"/>
    <col min="960" max="961" width="7" bestFit="1" customWidth="1"/>
    <col min="962" max="962" width="12.109375" bestFit="1" customWidth="1"/>
    <col min="963" max="965" width="13.21875" bestFit="1" customWidth="1"/>
    <col min="966" max="966" width="10.77734375" bestFit="1" customWidth="1"/>
    <col min="967" max="967" width="7" bestFit="1" customWidth="1"/>
    <col min="968" max="968" width="11" bestFit="1" customWidth="1"/>
    <col min="969" max="969" width="12.109375" bestFit="1" customWidth="1"/>
    <col min="970" max="972" width="13.21875" bestFit="1" customWidth="1"/>
    <col min="973" max="973" width="10.77734375" bestFit="1" customWidth="1"/>
    <col min="974" max="976" width="7" bestFit="1" customWidth="1"/>
    <col min="977" max="979" width="13.21875" bestFit="1" customWidth="1"/>
    <col min="980" max="980" width="10.77734375" bestFit="1" customWidth="1"/>
    <col min="981" max="981" width="7" bestFit="1" customWidth="1"/>
    <col min="982" max="984" width="12.109375" bestFit="1" customWidth="1"/>
    <col min="985" max="986" width="13.21875" bestFit="1" customWidth="1"/>
    <col min="987" max="987" width="10.77734375" bestFit="1" customWidth="1"/>
    <col min="988" max="988" width="7" bestFit="1" customWidth="1"/>
    <col min="989" max="989" width="9.88671875" bestFit="1" customWidth="1"/>
    <col min="990" max="990" width="12.109375" bestFit="1" customWidth="1"/>
    <col min="991" max="993" width="13.21875" bestFit="1" customWidth="1"/>
    <col min="994" max="994" width="10.77734375" bestFit="1" customWidth="1"/>
    <col min="995" max="995" width="7" bestFit="1" customWidth="1"/>
    <col min="996" max="997" width="12.109375" bestFit="1" customWidth="1"/>
    <col min="998" max="1000" width="13.21875" bestFit="1" customWidth="1"/>
    <col min="1001" max="1001" width="10.77734375" bestFit="1" customWidth="1"/>
    <col min="1002" max="1002" width="7" bestFit="1" customWidth="1"/>
    <col min="1003" max="1005" width="12.109375" bestFit="1" customWidth="1"/>
    <col min="1006" max="1007" width="13.21875" bestFit="1" customWidth="1"/>
    <col min="1008" max="1008" width="10.77734375" bestFit="1" customWidth="1"/>
    <col min="1009" max="1011" width="7" bestFit="1" customWidth="1"/>
    <col min="1012" max="1014" width="13.21875" bestFit="1" customWidth="1"/>
    <col min="1015" max="1015" width="10.77734375" bestFit="1" customWidth="1"/>
    <col min="1016" max="1017" width="7" bestFit="1" customWidth="1"/>
    <col min="1018" max="1018" width="11" bestFit="1" customWidth="1"/>
    <col min="1019" max="1019" width="10.33203125" bestFit="1" customWidth="1"/>
    <col min="1020" max="1021" width="13.21875" bestFit="1" customWidth="1"/>
    <col min="1022" max="1022" width="10.77734375" bestFit="1" customWidth="1"/>
    <col min="1023" max="1023" width="7" bestFit="1" customWidth="1"/>
    <col min="1024" max="1025" width="12.109375" bestFit="1" customWidth="1"/>
    <col min="1026" max="1028" width="13.21875" bestFit="1" customWidth="1"/>
    <col min="1029" max="1029" width="9.6640625" bestFit="1" customWidth="1"/>
    <col min="1030" max="1032" width="7" bestFit="1" customWidth="1"/>
    <col min="1033" max="1035" width="12.109375" bestFit="1" customWidth="1"/>
    <col min="1036" max="1036" width="10.77734375" bestFit="1" customWidth="1"/>
    <col min="1037" max="1039" width="7" bestFit="1" customWidth="1"/>
    <col min="1040" max="1040" width="10.33203125" bestFit="1" customWidth="1"/>
    <col min="1041" max="1042" width="13.21875" bestFit="1" customWidth="1"/>
    <col min="1043" max="1043" width="10.77734375" bestFit="1" customWidth="1"/>
    <col min="1044" max="1045" width="7" bestFit="1" customWidth="1"/>
    <col min="1046" max="1046" width="12.109375" bestFit="1" customWidth="1"/>
    <col min="1047" max="1049" width="13.21875" bestFit="1" customWidth="1"/>
    <col min="1050" max="1050" width="10.77734375" bestFit="1" customWidth="1"/>
    <col min="1051" max="1051" width="7" bestFit="1" customWidth="1"/>
    <col min="1052" max="1053" width="12.109375" bestFit="1" customWidth="1"/>
    <col min="1054" max="1056" width="13.21875" bestFit="1" customWidth="1"/>
    <col min="1057" max="1057" width="10.77734375" bestFit="1" customWidth="1"/>
    <col min="1058" max="1060" width="7" bestFit="1" customWidth="1"/>
    <col min="1061" max="1063" width="13.21875" bestFit="1" customWidth="1"/>
    <col min="1064" max="1064" width="11.21875" bestFit="1" customWidth="1"/>
    <col min="1065" max="1065" width="11" bestFit="1" customWidth="1"/>
    <col min="1066" max="1066" width="12.109375" bestFit="1" customWidth="1"/>
    <col min="1067" max="1067" width="11" bestFit="1" customWidth="1"/>
    <col min="1068" max="1068" width="12.109375" bestFit="1" customWidth="1"/>
    <col min="1069" max="1069" width="13.21875" bestFit="1" customWidth="1"/>
    <col min="1070" max="1071" width="10.77734375" bestFit="1" customWidth="1"/>
    <col min="1072" max="1072" width="7" bestFit="1" customWidth="1"/>
    <col min="1073" max="1073" width="12.109375" bestFit="1" customWidth="1"/>
    <col min="1074" max="1077" width="13.21875" bestFit="1" customWidth="1"/>
    <col min="1078" max="1079" width="10.77734375" bestFit="1" customWidth="1"/>
    <col min="1080" max="1080" width="11" bestFit="1" customWidth="1"/>
    <col min="1081" max="1081" width="12.109375" bestFit="1" customWidth="1"/>
    <col min="1082" max="1082" width="11" bestFit="1" customWidth="1"/>
    <col min="1083" max="1083" width="12.109375" bestFit="1" customWidth="1"/>
    <col min="1084" max="1084" width="13.21875" bestFit="1" customWidth="1"/>
    <col min="1085" max="1085" width="12.109375" bestFit="1" customWidth="1"/>
    <col min="1086" max="1087" width="10.77734375" bestFit="1" customWidth="1"/>
    <col min="1088" max="1088" width="7" bestFit="1" customWidth="1"/>
    <col min="1089" max="1091" width="12.109375" bestFit="1" customWidth="1"/>
    <col min="1092" max="1093" width="13.21875" bestFit="1" customWidth="1"/>
    <col min="1094" max="1095" width="10.77734375" bestFit="1" customWidth="1"/>
    <col min="1096" max="1096" width="7" bestFit="1" customWidth="1"/>
    <col min="1097" max="1099" width="11" bestFit="1" customWidth="1"/>
    <col min="1100" max="1101" width="13.21875" bestFit="1" customWidth="1"/>
    <col min="1102" max="1103" width="10.77734375" bestFit="1" customWidth="1"/>
    <col min="1104" max="1105" width="12.109375" bestFit="1" customWidth="1"/>
    <col min="1106" max="1109" width="13.21875" bestFit="1" customWidth="1"/>
    <col min="1110" max="1111" width="10.77734375" bestFit="1" customWidth="1"/>
    <col min="1112" max="1112" width="7" bestFit="1" customWidth="1"/>
    <col min="1113" max="1113" width="9.88671875" bestFit="1" customWidth="1"/>
    <col min="1114" max="1115" width="12.109375" bestFit="1" customWidth="1"/>
    <col min="1116" max="1116" width="13.21875" bestFit="1" customWidth="1"/>
    <col min="1117" max="1117" width="12.109375" bestFit="1" customWidth="1"/>
    <col min="1118" max="1119" width="10.77734375" bestFit="1" customWidth="1"/>
    <col min="1120" max="1120" width="11" bestFit="1" customWidth="1"/>
    <col min="1121" max="1123" width="12.109375" bestFit="1" customWidth="1"/>
    <col min="1124" max="1125" width="13.21875" bestFit="1" customWidth="1"/>
    <col min="1126" max="1127" width="10.77734375" bestFit="1" customWidth="1"/>
    <col min="1128" max="1129" width="12.109375" bestFit="1" customWidth="1"/>
    <col min="1130" max="1133" width="13.21875" bestFit="1" customWidth="1"/>
    <col min="1134" max="1135" width="9.6640625" bestFit="1" customWidth="1"/>
    <col min="1136" max="1138" width="11" bestFit="1" customWidth="1"/>
    <col min="1139" max="1141" width="12.109375" bestFit="1" customWidth="1"/>
    <col min="1142" max="1143" width="10.77734375" bestFit="1" customWidth="1"/>
    <col min="1144" max="1146" width="12.109375" bestFit="1" customWidth="1"/>
    <col min="1147" max="1149" width="13.21875" bestFit="1" customWidth="1"/>
    <col min="1150" max="1151" width="10.77734375" bestFit="1" customWidth="1"/>
    <col min="1152" max="1152" width="11" bestFit="1" customWidth="1"/>
    <col min="1153" max="1153" width="12.109375" bestFit="1" customWidth="1"/>
    <col min="1154" max="1157" width="13.21875" bestFit="1" customWidth="1"/>
    <col min="1158" max="1159" width="10.77734375" bestFit="1" customWidth="1"/>
    <col min="1160" max="1162" width="12.109375" bestFit="1" customWidth="1"/>
    <col min="1163" max="1165" width="13.21875" bestFit="1" customWidth="1"/>
    <col min="1166" max="1167" width="10.77734375" bestFit="1" customWidth="1"/>
    <col min="1168" max="1168" width="11" bestFit="1" customWidth="1"/>
    <col min="1169" max="1169" width="12.109375" bestFit="1" customWidth="1"/>
    <col min="1170" max="1172" width="13.21875" bestFit="1" customWidth="1"/>
    <col min="1173" max="1173" width="10.33203125" bestFit="1" customWidth="1"/>
    <col min="1174" max="1175" width="10.77734375" bestFit="1" customWidth="1"/>
    <col min="1176" max="1176" width="11" bestFit="1" customWidth="1"/>
    <col min="1177" max="1179" width="12.109375" bestFit="1" customWidth="1"/>
    <col min="1180" max="1180" width="13.21875" bestFit="1" customWidth="1"/>
    <col min="1181" max="1181" width="10.33203125" bestFit="1" customWidth="1"/>
    <col min="1182" max="1183" width="10.77734375" bestFit="1" customWidth="1"/>
    <col min="1184" max="1184" width="7" bestFit="1" customWidth="1"/>
    <col min="1185" max="1185" width="12.109375" bestFit="1" customWidth="1"/>
    <col min="1186" max="1189" width="13.21875" bestFit="1" customWidth="1"/>
    <col min="1190" max="1191" width="10.77734375" bestFit="1" customWidth="1"/>
    <col min="1192" max="1192" width="7" bestFit="1" customWidth="1"/>
    <col min="1193" max="1193" width="12.109375" bestFit="1" customWidth="1"/>
    <col min="1194" max="1196" width="13.21875" bestFit="1" customWidth="1"/>
    <col min="1197" max="1197" width="12.109375" bestFit="1" customWidth="1"/>
    <col min="1198" max="1199" width="10.77734375" bestFit="1" customWidth="1"/>
    <col min="1200" max="1200" width="7" bestFit="1" customWidth="1"/>
    <col min="1201" max="1201" width="12.109375" bestFit="1" customWidth="1"/>
    <col min="1202" max="1202" width="13.21875" bestFit="1" customWidth="1"/>
    <col min="1203" max="1204" width="12.109375" bestFit="1" customWidth="1"/>
    <col min="1205" max="1205" width="13.21875" bestFit="1" customWidth="1"/>
    <col min="1206" max="1207" width="10.77734375" bestFit="1" customWidth="1"/>
    <col min="1208" max="1208" width="7" bestFit="1" customWidth="1"/>
    <col min="1209" max="1209" width="11" bestFit="1" customWidth="1"/>
    <col min="1210" max="1210" width="10.33203125" bestFit="1" customWidth="1"/>
    <col min="1211" max="1212" width="13.21875" bestFit="1" customWidth="1"/>
    <col min="1213" max="1213" width="12.109375" bestFit="1" customWidth="1"/>
    <col min="1214" max="1214" width="11.21875" bestFit="1" customWidth="1"/>
    <col min="1215" max="1215" width="9.88671875" bestFit="1" customWidth="1"/>
    <col min="1216" max="1217" width="15.5546875" bestFit="1" customWidth="1"/>
    <col min="1218" max="1219" width="16.6640625" bestFit="1" customWidth="1"/>
    <col min="1220" max="1221" width="15.5546875" bestFit="1" customWidth="1"/>
    <col min="1222" max="1225" width="16.6640625" bestFit="1" customWidth="1"/>
    <col min="1226" max="1227" width="10.77734375" bestFit="1" customWidth="1"/>
    <col min="1228" max="1229" width="11.44140625" bestFit="1" customWidth="1"/>
    <col min="1230" max="1235" width="17.77734375" bestFit="1" customWidth="1"/>
    <col min="1236" max="1237" width="16.6640625" bestFit="1" customWidth="1"/>
    <col min="1238" max="1239" width="10.77734375" bestFit="1" customWidth="1"/>
    <col min="1240" max="1241" width="11.44140625" bestFit="1" customWidth="1"/>
    <col min="1242" max="1247" width="17.77734375" bestFit="1" customWidth="1"/>
    <col min="1248" max="1249" width="16.6640625" bestFit="1" customWidth="1"/>
    <col min="1250" max="1251" width="9.88671875" bestFit="1" customWidth="1"/>
    <col min="1252" max="1253" width="14.33203125" bestFit="1" customWidth="1"/>
    <col min="1254" max="1261" width="16.6640625" bestFit="1" customWidth="1"/>
    <col min="1262" max="1263" width="9.88671875" bestFit="1" customWidth="1"/>
    <col min="1264" max="1265" width="15.5546875" bestFit="1" customWidth="1"/>
    <col min="1266" max="1273" width="16.6640625" bestFit="1" customWidth="1"/>
    <col min="1274" max="1275" width="9.88671875" bestFit="1" customWidth="1"/>
    <col min="1276" max="1277" width="11.44140625" bestFit="1" customWidth="1"/>
    <col min="1278" max="1283" width="16.6640625" bestFit="1" customWidth="1"/>
    <col min="1284" max="1285" width="15.5546875" bestFit="1" customWidth="1"/>
    <col min="1286" max="1287" width="10.77734375" bestFit="1" customWidth="1"/>
    <col min="1288" max="1289" width="15.5546875" bestFit="1" customWidth="1"/>
    <col min="1290" max="1293" width="16.6640625" bestFit="1" customWidth="1"/>
    <col min="1294" max="1295" width="17.77734375" bestFit="1" customWidth="1"/>
    <col min="1296" max="1297" width="16.6640625" bestFit="1" customWidth="1"/>
    <col min="1298" max="1299" width="9.88671875" bestFit="1" customWidth="1"/>
    <col min="1300" max="1303" width="15.5546875" bestFit="1" customWidth="1"/>
    <col min="1304" max="1309" width="16.6640625" bestFit="1" customWidth="1"/>
    <col min="1310" max="1311" width="10.77734375" bestFit="1" customWidth="1"/>
    <col min="1312" max="1317" width="16.6640625" bestFit="1" customWidth="1"/>
    <col min="1318" max="1319" width="17.77734375" bestFit="1" customWidth="1"/>
    <col min="1320" max="1321" width="16.6640625" bestFit="1" customWidth="1"/>
    <col min="1322" max="1323" width="10.77734375" bestFit="1" customWidth="1"/>
    <col min="1324" max="1329" width="16.6640625" bestFit="1" customWidth="1"/>
    <col min="1330" max="1331" width="17.77734375" bestFit="1" customWidth="1"/>
    <col min="1332" max="1333" width="16.6640625" bestFit="1" customWidth="1"/>
    <col min="1334" max="1335" width="10.77734375" bestFit="1" customWidth="1"/>
    <col min="1336" max="1337" width="15.5546875" bestFit="1" customWidth="1"/>
    <col min="1338" max="1341" width="16.6640625" bestFit="1" customWidth="1"/>
    <col min="1342" max="1343" width="17.77734375" bestFit="1" customWidth="1"/>
    <col min="1344" max="1345" width="16.6640625" bestFit="1" customWidth="1"/>
    <col min="1346" max="1347" width="10.77734375" bestFit="1" customWidth="1"/>
    <col min="1348" max="1349" width="11.44140625" bestFit="1" customWidth="1"/>
    <col min="1350" max="1355" width="17.77734375" bestFit="1" customWidth="1"/>
    <col min="1356" max="1357" width="16.6640625" bestFit="1" customWidth="1"/>
    <col min="1358" max="1359" width="10.77734375" bestFit="1" customWidth="1"/>
    <col min="1360" max="1361" width="11.44140625" bestFit="1" customWidth="1"/>
    <col min="1362" max="1369" width="17.77734375" bestFit="1" customWidth="1"/>
    <col min="1370" max="1371" width="10.77734375" bestFit="1" customWidth="1"/>
    <col min="1372" max="1373" width="11.44140625" bestFit="1" customWidth="1"/>
    <col min="1374" max="1375" width="14.88671875" bestFit="1" customWidth="1"/>
    <col min="1376" max="1381" width="17.77734375" bestFit="1" customWidth="1"/>
    <col min="1382" max="1383" width="10.77734375" bestFit="1" customWidth="1"/>
    <col min="1384" max="1385" width="15.5546875" bestFit="1" customWidth="1"/>
    <col min="1386" max="1389" width="16.6640625" bestFit="1" customWidth="1"/>
    <col min="1390" max="1393" width="17.77734375" bestFit="1" customWidth="1"/>
    <col min="1394" max="1395" width="10.77734375" bestFit="1" customWidth="1"/>
    <col min="1396" max="1397" width="15.5546875" bestFit="1" customWidth="1"/>
    <col min="1398" max="1401" width="16.6640625" bestFit="1" customWidth="1"/>
    <col min="1402" max="1405" width="17.77734375" bestFit="1" customWidth="1"/>
    <col min="1406" max="1407" width="10.77734375" bestFit="1" customWidth="1"/>
    <col min="1408" max="1413" width="16.6640625" bestFit="1" customWidth="1"/>
    <col min="1414" max="1417" width="17.77734375" bestFit="1" customWidth="1"/>
    <col min="1418" max="1419" width="10.77734375" bestFit="1" customWidth="1"/>
    <col min="1420" max="1425" width="16.6640625" bestFit="1" customWidth="1"/>
    <col min="1426" max="1429" width="17.77734375" bestFit="1" customWidth="1"/>
    <col min="1430" max="1431" width="10.77734375" bestFit="1" customWidth="1"/>
    <col min="1432" max="1433" width="15.5546875" bestFit="1" customWidth="1"/>
    <col min="1434" max="1437" width="16.6640625" bestFit="1" customWidth="1"/>
    <col min="1438" max="1441" width="17.77734375" bestFit="1" customWidth="1"/>
    <col min="1442" max="1443" width="10.77734375" bestFit="1" customWidth="1"/>
    <col min="1444" max="1447" width="16.6640625" bestFit="1" customWidth="1"/>
    <col min="1448" max="1453" width="17.77734375" bestFit="1" customWidth="1"/>
    <col min="1454" max="1455" width="10.77734375" bestFit="1" customWidth="1"/>
    <col min="1456" max="1459" width="16.6640625" bestFit="1" customWidth="1"/>
    <col min="1460" max="1461" width="15.5546875" bestFit="1" customWidth="1"/>
    <col min="1462" max="1465" width="17.77734375" bestFit="1" customWidth="1"/>
    <col min="1466" max="1467" width="10.77734375" bestFit="1" customWidth="1"/>
    <col min="1468" max="1473" width="16.6640625" bestFit="1" customWidth="1"/>
    <col min="1474" max="1477" width="17.77734375" bestFit="1" customWidth="1"/>
    <col min="1478" max="1479" width="10.77734375" bestFit="1" customWidth="1"/>
    <col min="1480" max="1481" width="15.5546875" bestFit="1" customWidth="1"/>
    <col min="1482" max="1485" width="16.6640625" bestFit="1" customWidth="1"/>
    <col min="1486" max="1489" width="17.77734375" bestFit="1" customWidth="1"/>
    <col min="1490" max="1491" width="10.77734375" bestFit="1" customWidth="1"/>
    <col min="1492" max="1497" width="16.6640625" bestFit="1" customWidth="1"/>
    <col min="1498" max="1501" width="17.77734375" bestFit="1" customWidth="1"/>
    <col min="1502" max="1503" width="10.77734375" bestFit="1" customWidth="1"/>
    <col min="1504" max="1509" width="16.6640625" bestFit="1" customWidth="1"/>
    <col min="1510" max="1511" width="17.77734375" bestFit="1" customWidth="1"/>
    <col min="1512" max="1513" width="14.88671875" bestFit="1" customWidth="1"/>
    <col min="1514" max="1515" width="10.77734375" bestFit="1" customWidth="1"/>
    <col min="1516" max="1521" width="16.6640625" bestFit="1" customWidth="1"/>
    <col min="1522" max="1525" width="17.77734375" bestFit="1" customWidth="1"/>
    <col min="1526" max="1527" width="10.77734375" bestFit="1" customWidth="1"/>
    <col min="1528" max="1529" width="11.44140625" bestFit="1" customWidth="1"/>
    <col min="1530" max="1531" width="16.6640625" bestFit="1" customWidth="1"/>
    <col min="1532" max="1533" width="15.5546875" bestFit="1" customWidth="1"/>
    <col min="1534" max="1537" width="17.77734375" bestFit="1" customWidth="1"/>
    <col min="1538" max="1539" width="10.77734375" bestFit="1" customWidth="1"/>
    <col min="1540" max="1541" width="16.6640625" bestFit="1" customWidth="1"/>
    <col min="1542" max="1549" width="17.77734375" bestFit="1" customWidth="1"/>
    <col min="1550" max="1551" width="10.77734375" bestFit="1" customWidth="1"/>
    <col min="1552" max="1555" width="16.6640625" bestFit="1" customWidth="1"/>
    <col min="1556" max="1561" width="17.77734375" bestFit="1" customWidth="1"/>
    <col min="1562" max="1563" width="10.77734375" bestFit="1" customWidth="1"/>
    <col min="1564" max="1565" width="16.6640625" bestFit="1" customWidth="1"/>
    <col min="1566" max="1573" width="17.77734375" bestFit="1" customWidth="1"/>
    <col min="1574" max="1575" width="10.77734375" bestFit="1" customWidth="1"/>
    <col min="1576" max="1579" width="16.6640625" bestFit="1" customWidth="1"/>
    <col min="1580" max="1585" width="17.77734375" bestFit="1" customWidth="1"/>
    <col min="1586" max="1587" width="10.77734375" bestFit="1" customWidth="1"/>
    <col min="1588" max="1589" width="15.5546875" bestFit="1" customWidth="1"/>
    <col min="1590" max="1591" width="16.6640625" bestFit="1" customWidth="1"/>
    <col min="1592" max="1593" width="15.5546875" bestFit="1" customWidth="1"/>
    <col min="1594" max="1595" width="16.6640625" bestFit="1" customWidth="1"/>
    <col min="1596" max="1597" width="17.77734375" bestFit="1" customWidth="1"/>
    <col min="1598" max="1599" width="10.77734375" bestFit="1" customWidth="1"/>
    <col min="1600" max="1601" width="16.6640625" bestFit="1" customWidth="1"/>
    <col min="1602" max="1609" width="17.77734375" bestFit="1" customWidth="1"/>
    <col min="1610" max="1611" width="10.77734375" bestFit="1" customWidth="1"/>
    <col min="1612" max="1613" width="16.6640625" bestFit="1" customWidth="1"/>
    <col min="1614" max="1615" width="15.5546875" bestFit="1" customWidth="1"/>
    <col min="1616" max="1617" width="16.6640625" bestFit="1" customWidth="1"/>
    <col min="1618" max="1619" width="17.77734375" bestFit="1" customWidth="1"/>
    <col min="1620" max="1621" width="16.6640625" bestFit="1" customWidth="1"/>
    <col min="1622" max="1623" width="10.77734375" bestFit="1" customWidth="1"/>
    <col min="1624" max="1629" width="16.6640625" bestFit="1" customWidth="1"/>
    <col min="1630" max="1633" width="17.77734375" bestFit="1" customWidth="1"/>
    <col min="1634" max="1635" width="10.77734375" bestFit="1" customWidth="1"/>
    <col min="1636" max="1641" width="15.5546875" bestFit="1" customWidth="1"/>
    <col min="1642" max="1645" width="17.77734375" bestFit="1" customWidth="1"/>
    <col min="1646" max="1647" width="10.77734375" bestFit="1" customWidth="1"/>
    <col min="1648" max="1649" width="16.6640625" bestFit="1" customWidth="1"/>
    <col min="1650" max="1657" width="17.77734375" bestFit="1" customWidth="1"/>
    <col min="1658" max="1659" width="10.77734375" bestFit="1" customWidth="1"/>
    <col min="1660" max="1661" width="14.33203125" bestFit="1" customWidth="1"/>
    <col min="1662" max="1665" width="16.6640625" bestFit="1" customWidth="1"/>
    <col min="1666" max="1667" width="17.77734375" bestFit="1" customWidth="1"/>
    <col min="1668" max="1669" width="16.6640625" bestFit="1" customWidth="1"/>
    <col min="1670" max="1671" width="10.77734375" bestFit="1" customWidth="1"/>
    <col min="1672" max="1677" width="16.6640625" bestFit="1" customWidth="1"/>
    <col min="1678" max="1681" width="17.77734375" bestFit="1" customWidth="1"/>
    <col min="1682" max="1683" width="10.77734375" bestFit="1" customWidth="1"/>
    <col min="1684" max="1685" width="16.6640625" bestFit="1" customWidth="1"/>
    <col min="1686" max="1693" width="17.77734375" bestFit="1" customWidth="1"/>
    <col min="1694" max="1695" width="9.88671875" bestFit="1" customWidth="1"/>
    <col min="1696" max="1699" width="15.5546875" bestFit="1" customWidth="1"/>
    <col min="1700" max="1705" width="16.6640625" bestFit="1" customWidth="1"/>
    <col min="1706" max="1707" width="10.77734375" bestFit="1" customWidth="1"/>
    <col min="1708" max="1711" width="16.6640625" bestFit="1" customWidth="1"/>
    <col min="1712" max="1717" width="17.77734375" bestFit="1" customWidth="1"/>
    <col min="1718" max="1719" width="10.77734375" bestFit="1" customWidth="1"/>
    <col min="1720" max="1721" width="16.6640625" bestFit="1" customWidth="1"/>
    <col min="1722" max="1729" width="17.77734375" bestFit="1" customWidth="1"/>
    <col min="1730" max="1731" width="10.77734375" bestFit="1" customWidth="1"/>
    <col min="1732" max="1735" width="16.6640625" bestFit="1" customWidth="1"/>
    <col min="1736" max="1741" width="17.77734375" bestFit="1" customWidth="1"/>
    <col min="1742" max="1743" width="10.77734375" bestFit="1" customWidth="1"/>
    <col min="1744" max="1745" width="16.6640625" bestFit="1" customWidth="1"/>
    <col min="1746" max="1751" width="17.77734375" bestFit="1" customWidth="1"/>
    <col min="1752" max="1753" width="14.88671875" bestFit="1" customWidth="1"/>
    <col min="1754" max="1755" width="10.77734375" bestFit="1" customWidth="1"/>
    <col min="1756" max="1761" width="16.6640625" bestFit="1" customWidth="1"/>
    <col min="1762" max="1763" width="17.77734375" bestFit="1" customWidth="1"/>
    <col min="1764" max="1765" width="14.88671875" bestFit="1" customWidth="1"/>
    <col min="1766" max="1767" width="10.77734375" bestFit="1" customWidth="1"/>
    <col min="1768" max="1769" width="16.6640625" bestFit="1" customWidth="1"/>
    <col min="1770" max="1777" width="17.77734375" bestFit="1" customWidth="1"/>
    <col min="1778" max="1779" width="10.77734375" bestFit="1" customWidth="1"/>
    <col min="1780" max="1781" width="16.6640625" bestFit="1" customWidth="1"/>
    <col min="1782" max="1787" width="17.77734375" bestFit="1" customWidth="1"/>
    <col min="1788" max="1789" width="16.6640625" bestFit="1" customWidth="1"/>
    <col min="1790" max="1791" width="10.77734375" bestFit="1" customWidth="1"/>
    <col min="1792" max="1793" width="16.6640625" bestFit="1" customWidth="1"/>
    <col min="1794" max="1795" width="17.77734375" bestFit="1" customWidth="1"/>
    <col min="1796" max="1799" width="16.6640625" bestFit="1" customWidth="1"/>
    <col min="1800" max="1801" width="17.77734375" bestFit="1" customWidth="1"/>
    <col min="1802" max="1803" width="10.77734375" bestFit="1" customWidth="1"/>
    <col min="1804" max="1805" width="15.5546875" bestFit="1" customWidth="1"/>
    <col min="1806" max="1807" width="14.88671875" bestFit="1" customWidth="1"/>
    <col min="1808" max="1811" width="17.77734375" bestFit="1" customWidth="1"/>
    <col min="1812" max="1813" width="16.6640625" bestFit="1" customWidth="1"/>
    <col min="1814" max="1815" width="14.77734375" bestFit="1" customWidth="1"/>
    <col min="1816" max="1816" width="10.77734375" bestFit="1" customWidth="1"/>
    <col min="1817" max="1819" width="16.6640625" bestFit="1" customWidth="1"/>
    <col min="1820" max="1822" width="15.5546875" bestFit="1" customWidth="1"/>
    <col min="1823" max="1828" width="17.77734375" bestFit="1" customWidth="1"/>
    <col min="1829" max="1831" width="10.77734375" bestFit="1" customWidth="1"/>
    <col min="1832" max="1837" width="16.6640625" bestFit="1" customWidth="1"/>
    <col min="1838" max="1843" width="17.77734375" bestFit="1" customWidth="1"/>
    <col min="1844" max="1846" width="10.77734375" bestFit="1" customWidth="1"/>
    <col min="1847" max="1852" width="16.6640625" bestFit="1" customWidth="1"/>
    <col min="1853" max="1858" width="17.77734375" bestFit="1" customWidth="1"/>
    <col min="1859" max="1861" width="10.77734375" bestFit="1" customWidth="1"/>
    <col min="1862" max="1867" width="16.6640625" bestFit="1" customWidth="1"/>
    <col min="1868" max="1873" width="17.77734375" bestFit="1" customWidth="1"/>
    <col min="1874" max="1876" width="10.77734375" bestFit="1" customWidth="1"/>
    <col min="1877" max="1882" width="16.6640625" bestFit="1" customWidth="1"/>
    <col min="1883" max="1885" width="17.77734375" bestFit="1" customWidth="1"/>
    <col min="1886" max="1888" width="14.88671875" bestFit="1" customWidth="1"/>
    <col min="1889" max="1891" width="10.77734375" bestFit="1" customWidth="1"/>
    <col min="1892" max="1897" width="16.6640625" bestFit="1" customWidth="1"/>
    <col min="1898" max="1903" width="17.77734375" bestFit="1" customWidth="1"/>
    <col min="1904" max="1906" width="10.77734375" bestFit="1" customWidth="1"/>
    <col min="1907" max="1909" width="16.6640625" bestFit="1" customWidth="1"/>
    <col min="1910" max="1912" width="15.5546875" bestFit="1" customWidth="1"/>
    <col min="1913" max="1918" width="17.77734375" bestFit="1" customWidth="1"/>
    <col min="1919" max="1921" width="10.77734375" bestFit="1" customWidth="1"/>
    <col min="1922" max="1933" width="17.77734375" bestFit="1" customWidth="1"/>
    <col min="1934" max="1936" width="10.77734375" bestFit="1" customWidth="1"/>
    <col min="1937" max="1939" width="16.6640625" bestFit="1" customWidth="1"/>
    <col min="1940" max="1948" width="17.77734375" bestFit="1" customWidth="1"/>
    <col min="1949" max="1951" width="10.77734375" bestFit="1" customWidth="1"/>
    <col min="1952" max="1963" width="17.77734375" bestFit="1" customWidth="1"/>
    <col min="1964" max="1966" width="10.77734375" bestFit="1" customWidth="1"/>
    <col min="1967" max="1969" width="16.6640625" bestFit="1" customWidth="1"/>
    <col min="1970" max="1978" width="17.77734375" bestFit="1" customWidth="1"/>
    <col min="1979" max="1981" width="10.77734375" bestFit="1" customWidth="1"/>
    <col min="1982" max="1984" width="16.6640625" bestFit="1" customWidth="1"/>
    <col min="1985" max="1987" width="15.5546875" bestFit="1" customWidth="1"/>
    <col min="1988" max="1990" width="16.6640625" bestFit="1" customWidth="1"/>
    <col min="1991" max="1993" width="17.77734375" bestFit="1" customWidth="1"/>
    <col min="1994" max="1996" width="10.77734375" bestFit="1" customWidth="1"/>
    <col min="1997" max="2008" width="17.77734375" bestFit="1" customWidth="1"/>
    <col min="2009" max="2011" width="10.77734375" bestFit="1" customWidth="1"/>
    <col min="2012" max="2014" width="15.5546875" bestFit="1" customWidth="1"/>
    <col min="2015" max="2017" width="16.6640625" bestFit="1" customWidth="1"/>
    <col min="2018" max="2020" width="17.77734375" bestFit="1" customWidth="1"/>
    <col min="2021" max="2023" width="16.6640625" bestFit="1" customWidth="1"/>
    <col min="2024" max="2026" width="10.77734375" bestFit="1" customWidth="1"/>
    <col min="2027" max="2032" width="16.6640625" bestFit="1" customWidth="1"/>
    <col min="2033" max="2038" width="17.77734375" bestFit="1" customWidth="1"/>
    <col min="2039" max="2041" width="10.77734375" bestFit="1" customWidth="1"/>
    <col min="2042" max="2047" width="15.5546875" bestFit="1" customWidth="1"/>
    <col min="2048" max="2053" width="17.77734375" bestFit="1" customWidth="1"/>
    <col min="2054" max="2056" width="10.77734375" bestFit="1" customWidth="1"/>
    <col min="2057" max="2068" width="17.77734375" bestFit="1" customWidth="1"/>
    <col min="2069" max="2071" width="10.77734375" bestFit="1" customWidth="1"/>
    <col min="2072" max="2077" width="16.6640625" bestFit="1" customWidth="1"/>
    <col min="2078" max="2080" width="17.77734375" bestFit="1" customWidth="1"/>
    <col min="2081" max="2083" width="16.6640625" bestFit="1" customWidth="1"/>
    <col min="2084" max="2086" width="10.77734375" bestFit="1" customWidth="1"/>
    <col min="2087" max="2092" width="16.6640625" bestFit="1" customWidth="1"/>
    <col min="2093" max="2098" width="17.77734375" bestFit="1" customWidth="1"/>
    <col min="2099" max="2101" width="10.77734375" bestFit="1" customWidth="1"/>
    <col min="2102" max="2113" width="17.77734375" bestFit="1" customWidth="1"/>
    <col min="2114" max="2116" width="9.88671875" bestFit="1" customWidth="1"/>
    <col min="2117" max="2119" width="15.5546875" bestFit="1" customWidth="1"/>
    <col min="2120" max="2128" width="16.6640625" bestFit="1" customWidth="1"/>
    <col min="2129" max="2131" width="10.77734375" bestFit="1" customWidth="1"/>
    <col min="2132" max="2134" width="16.6640625" bestFit="1" customWidth="1"/>
    <col min="2135" max="2143" width="17.77734375" bestFit="1" customWidth="1"/>
    <col min="2144" max="2146" width="10.77734375" bestFit="1" customWidth="1"/>
    <col min="2147" max="2158" width="17.77734375" bestFit="1" customWidth="1"/>
    <col min="2159" max="2161" width="10.77734375" bestFit="1" customWidth="1"/>
    <col min="2162" max="2164" width="16.6640625" bestFit="1" customWidth="1"/>
    <col min="2165" max="2173" width="17.77734375" bestFit="1" customWidth="1"/>
    <col min="2174" max="2176" width="10.77734375" bestFit="1" customWidth="1"/>
    <col min="2177" max="2185" width="17.77734375" bestFit="1" customWidth="1"/>
    <col min="2186" max="2188" width="14.88671875" bestFit="1" customWidth="1"/>
    <col min="2189" max="2191" width="10.77734375" bestFit="1" customWidth="1"/>
    <col min="2192" max="2197" width="16.6640625" bestFit="1" customWidth="1"/>
    <col min="2198" max="2200" width="17.77734375" bestFit="1" customWidth="1"/>
    <col min="2201" max="2203" width="14.88671875" bestFit="1" customWidth="1"/>
    <col min="2204" max="2206" width="10.77734375" bestFit="1" customWidth="1"/>
    <col min="2207" max="2218" width="17.77734375" bestFit="1" customWidth="1"/>
    <col min="2219" max="2221" width="10.77734375" bestFit="1" customWidth="1"/>
    <col min="2222" max="2230" width="17.77734375" bestFit="1" customWidth="1"/>
    <col min="2231" max="2233" width="16.6640625" bestFit="1" customWidth="1"/>
    <col min="2234" max="2236" width="10.77734375" bestFit="1" customWidth="1"/>
    <col min="2237" max="2239" width="17.77734375" bestFit="1" customWidth="1"/>
    <col min="2240" max="2245" width="16.6640625" bestFit="1" customWidth="1"/>
    <col min="2246" max="2248" width="17.77734375" bestFit="1" customWidth="1"/>
    <col min="2249" max="2251" width="10.77734375" bestFit="1" customWidth="1"/>
    <col min="2252" max="2254" width="14.88671875" bestFit="1" customWidth="1"/>
    <col min="2255" max="2260" width="17.77734375" bestFit="1" customWidth="1"/>
    <col min="2261" max="2263" width="16.6640625" bestFit="1" customWidth="1"/>
    <col min="2264" max="2266" width="14.77734375" bestFit="1" customWidth="1"/>
    <col min="2267" max="2269" width="16.6640625" bestFit="1" customWidth="1"/>
    <col min="2270" max="2273" width="10.77734375" bestFit="1" customWidth="1"/>
    <col min="2274" max="2277" width="16.6640625" bestFit="1" customWidth="1"/>
    <col min="2278" max="2285" width="17.77734375" bestFit="1" customWidth="1"/>
    <col min="2286" max="2289" width="10.77734375" bestFit="1" customWidth="1"/>
    <col min="2290" max="2301" width="17.77734375" bestFit="1" customWidth="1"/>
    <col min="2302" max="2305" width="10.77734375" bestFit="1" customWidth="1"/>
    <col min="2306" max="2309" width="16.6640625" bestFit="1" customWidth="1"/>
    <col min="2310" max="2317" width="17.77734375" bestFit="1" customWidth="1"/>
    <col min="2318" max="2321" width="10.77734375" bestFit="1" customWidth="1"/>
    <col min="2322" max="2329" width="17.77734375" bestFit="1" customWidth="1"/>
    <col min="2330" max="2333" width="14.88671875" bestFit="1" customWidth="1"/>
    <col min="2334" max="2337" width="10.77734375" bestFit="1" customWidth="1"/>
    <col min="2338" max="2341" width="16.6640625" bestFit="1" customWidth="1"/>
    <col min="2342" max="2345" width="17.77734375" bestFit="1" customWidth="1"/>
    <col min="2346" max="2349" width="14.88671875" bestFit="1" customWidth="1"/>
    <col min="2350" max="2353" width="10.77734375" bestFit="1" customWidth="1"/>
    <col min="2354" max="2365" width="17.77734375" bestFit="1" customWidth="1"/>
    <col min="2366" max="2369" width="10.77734375" bestFit="1" customWidth="1"/>
    <col min="2370" max="2377" width="17.77734375" bestFit="1" customWidth="1"/>
    <col min="2378" max="2381" width="16.6640625" bestFit="1" customWidth="1"/>
    <col min="2382" max="2385" width="10.77734375" bestFit="1" customWidth="1"/>
    <col min="2386" max="2389" width="17.77734375" bestFit="1" customWidth="1"/>
    <col min="2390" max="2393" width="16.6640625" bestFit="1" customWidth="1"/>
    <col min="2394" max="2397" width="17.77734375" bestFit="1" customWidth="1"/>
    <col min="2398" max="2401" width="10.77734375" bestFit="1" customWidth="1"/>
    <col min="2402" max="2405" width="14.88671875" bestFit="1" customWidth="1"/>
    <col min="2406" max="2409" width="17.77734375" bestFit="1" customWidth="1"/>
    <col min="2410" max="2413" width="16.6640625" bestFit="1" customWidth="1"/>
    <col min="2414" max="2417" width="14.77734375" bestFit="1" customWidth="1"/>
  </cols>
  <sheetData>
    <row r="1" spans="1:21" x14ac:dyDescent="0.3">
      <c r="A1" s="11" t="s">
        <v>2</v>
      </c>
      <c r="B1" s="2" t="s">
        <v>0</v>
      </c>
      <c r="C1" s="2" t="s">
        <v>1</v>
      </c>
      <c r="D1" s="2" t="s">
        <v>46</v>
      </c>
      <c r="E1" s="2" t="s">
        <v>47</v>
      </c>
      <c r="F1" s="2" t="s">
        <v>48</v>
      </c>
      <c r="G1" s="2" t="s">
        <v>49</v>
      </c>
      <c r="H1" s="2" t="s">
        <v>50</v>
      </c>
      <c r="I1" s="2" t="s">
        <v>51</v>
      </c>
      <c r="J1" s="2" t="s">
        <v>52</v>
      </c>
      <c r="K1" s="2" t="s">
        <v>53</v>
      </c>
      <c r="L1" s="2" t="s">
        <v>43</v>
      </c>
    </row>
    <row r="2" spans="1:21" x14ac:dyDescent="0.3">
      <c r="A2" s="10">
        <v>45748</v>
      </c>
      <c r="B2" s="26">
        <v>0</v>
      </c>
      <c r="C2" s="26">
        <v>0</v>
      </c>
      <c r="D2" s="26">
        <v>0</v>
      </c>
      <c r="E2" s="26">
        <v>0</v>
      </c>
      <c r="F2" s="26">
        <v>0</v>
      </c>
      <c r="G2" s="26">
        <v>0</v>
      </c>
      <c r="H2" s="26">
        <v>0</v>
      </c>
      <c r="I2" s="26">
        <v>0</v>
      </c>
      <c r="J2" s="26">
        <v>0</v>
      </c>
      <c r="K2" s="26">
        <v>0</v>
      </c>
      <c r="L2" s="1">
        <f>VLOOKUP(Table2[[#This Row],[Date]],SW_LU[],3,TRUE)</f>
        <v>41</v>
      </c>
      <c r="M2" s="13"/>
      <c r="N2" s="13"/>
      <c r="O2" s="13"/>
      <c r="P2" s="13"/>
      <c r="Q2" s="13"/>
      <c r="R2" s="13"/>
    </row>
    <row r="3" spans="1:21" x14ac:dyDescent="0.3">
      <c r="A3" s="10">
        <v>45749</v>
      </c>
      <c r="B3" s="26">
        <v>0</v>
      </c>
      <c r="C3" s="26">
        <v>0</v>
      </c>
      <c r="D3" s="26">
        <v>0</v>
      </c>
      <c r="E3" s="26">
        <v>0</v>
      </c>
      <c r="F3" s="26">
        <v>0</v>
      </c>
      <c r="G3" s="26">
        <v>0</v>
      </c>
      <c r="H3" s="26">
        <v>0</v>
      </c>
      <c r="I3" s="26">
        <v>0</v>
      </c>
      <c r="J3" s="26">
        <v>0</v>
      </c>
      <c r="K3" s="26">
        <v>0</v>
      </c>
      <c r="L3" s="1">
        <f>VLOOKUP(Table2[[#This Row],[Date]],SW_LU[],3,TRUE)</f>
        <v>41</v>
      </c>
      <c r="M3" s="13"/>
      <c r="N3" s="23" t="s">
        <v>61</v>
      </c>
      <c r="O3" t="s">
        <v>54</v>
      </c>
      <c r="P3" t="s">
        <v>62</v>
      </c>
      <c r="Q3" t="s">
        <v>63</v>
      </c>
      <c r="R3" t="s">
        <v>56</v>
      </c>
      <c r="S3" t="s">
        <v>57</v>
      </c>
      <c r="T3" t="s">
        <v>58</v>
      </c>
      <c r="U3" t="s">
        <v>59</v>
      </c>
    </row>
    <row r="4" spans="1:21" x14ac:dyDescent="0.3">
      <c r="A4" s="10">
        <v>45750</v>
      </c>
      <c r="B4" s="26">
        <v>0</v>
      </c>
      <c r="C4" s="26">
        <v>0</v>
      </c>
      <c r="D4" s="26">
        <v>0</v>
      </c>
      <c r="E4" s="26">
        <v>0</v>
      </c>
      <c r="F4" s="26">
        <v>0</v>
      </c>
      <c r="G4" s="26">
        <v>0</v>
      </c>
      <c r="H4" s="26">
        <v>0</v>
      </c>
      <c r="I4" s="26">
        <v>0</v>
      </c>
      <c r="J4" s="26">
        <v>0</v>
      </c>
      <c r="K4" s="26">
        <v>0</v>
      </c>
      <c r="L4" s="1">
        <f>VLOOKUP(Table2[[#This Row],[Date]],SW_LU[],3,TRUE)</f>
        <v>42</v>
      </c>
      <c r="M4" s="13"/>
      <c r="N4" s="24">
        <v>41</v>
      </c>
      <c r="O4" s="25">
        <v>0</v>
      </c>
      <c r="P4" s="25">
        <v>0</v>
      </c>
      <c r="Q4" s="25">
        <v>0</v>
      </c>
      <c r="R4" s="25">
        <v>0</v>
      </c>
      <c r="S4" s="25">
        <v>0</v>
      </c>
      <c r="T4" s="22">
        <v>0</v>
      </c>
      <c r="U4" s="25">
        <v>0</v>
      </c>
    </row>
    <row r="5" spans="1:21" x14ac:dyDescent="0.3">
      <c r="A5" s="10">
        <v>45751</v>
      </c>
      <c r="B5" s="26">
        <v>0</v>
      </c>
      <c r="C5" s="26">
        <v>0</v>
      </c>
      <c r="D5" s="26">
        <v>0</v>
      </c>
      <c r="E5" s="26">
        <v>0</v>
      </c>
      <c r="F5" s="26">
        <v>0</v>
      </c>
      <c r="G5" s="26">
        <v>0</v>
      </c>
      <c r="H5" s="26">
        <v>0</v>
      </c>
      <c r="I5" s="26">
        <v>0</v>
      </c>
      <c r="J5" s="26">
        <v>0</v>
      </c>
      <c r="K5" s="26">
        <v>0</v>
      </c>
      <c r="L5" s="1">
        <f>VLOOKUP(Table2[[#This Row],[Date]],SW_LU[],3,TRUE)</f>
        <v>42</v>
      </c>
      <c r="M5" s="13"/>
      <c r="N5" s="24">
        <v>42</v>
      </c>
      <c r="O5" s="25">
        <v>0</v>
      </c>
      <c r="P5" s="25">
        <v>0</v>
      </c>
      <c r="Q5" s="25">
        <v>0</v>
      </c>
      <c r="R5" s="25">
        <v>0</v>
      </c>
      <c r="S5" s="25">
        <v>0</v>
      </c>
      <c r="T5" s="22">
        <v>0</v>
      </c>
      <c r="U5" s="25">
        <v>0</v>
      </c>
    </row>
    <row r="6" spans="1:21" x14ac:dyDescent="0.3">
      <c r="A6" s="10">
        <v>45752</v>
      </c>
      <c r="B6" s="26">
        <v>0</v>
      </c>
      <c r="C6" s="26">
        <v>0</v>
      </c>
      <c r="D6" s="26">
        <v>0</v>
      </c>
      <c r="E6" s="26">
        <v>0</v>
      </c>
      <c r="F6" s="26">
        <v>0</v>
      </c>
      <c r="G6" s="26">
        <v>0</v>
      </c>
      <c r="H6" s="26">
        <v>0</v>
      </c>
      <c r="I6" s="26">
        <v>0</v>
      </c>
      <c r="J6" s="26">
        <v>0</v>
      </c>
      <c r="K6" s="26">
        <v>0</v>
      </c>
      <c r="L6" s="1">
        <f>VLOOKUP(Table2[[#This Row],[Date]],SW_LU[],3,TRUE)</f>
        <v>42</v>
      </c>
      <c r="M6" s="13"/>
      <c r="N6" s="24">
        <v>43</v>
      </c>
      <c r="O6" s="25">
        <v>0.02</v>
      </c>
      <c r="P6" s="25">
        <v>0.44</v>
      </c>
      <c r="Q6" s="25">
        <v>0</v>
      </c>
      <c r="R6" s="25">
        <v>0.31</v>
      </c>
      <c r="S6" s="25">
        <v>0.24</v>
      </c>
      <c r="T6" s="22">
        <v>0</v>
      </c>
      <c r="U6" s="25">
        <v>0</v>
      </c>
    </row>
    <row r="7" spans="1:21" x14ac:dyDescent="0.3">
      <c r="A7" s="10">
        <v>45753</v>
      </c>
      <c r="B7" s="26">
        <v>0</v>
      </c>
      <c r="C7" s="26">
        <v>0</v>
      </c>
      <c r="D7" s="26">
        <v>0</v>
      </c>
      <c r="E7" s="26">
        <v>0</v>
      </c>
      <c r="F7" s="26">
        <v>0</v>
      </c>
      <c r="G7" s="26">
        <v>0</v>
      </c>
      <c r="H7" s="26">
        <v>0</v>
      </c>
      <c r="I7" s="26">
        <v>0</v>
      </c>
      <c r="J7" s="26">
        <v>0</v>
      </c>
      <c r="K7" s="26">
        <v>0</v>
      </c>
      <c r="L7" s="1">
        <f>VLOOKUP(Table2[[#This Row],[Date]],SW_LU[],3,TRUE)</f>
        <v>42</v>
      </c>
      <c r="M7" s="13"/>
      <c r="N7" s="24">
        <v>44</v>
      </c>
      <c r="O7" s="25">
        <v>0.06</v>
      </c>
      <c r="P7" s="25">
        <v>1.31</v>
      </c>
      <c r="Q7" s="25">
        <v>0</v>
      </c>
      <c r="R7" s="25">
        <v>0.92999999999999994</v>
      </c>
      <c r="S7" s="25">
        <v>0.71</v>
      </c>
      <c r="T7" s="22">
        <v>0</v>
      </c>
      <c r="U7" s="25">
        <v>0</v>
      </c>
    </row>
    <row r="8" spans="1:21" x14ac:dyDescent="0.3">
      <c r="A8" s="10">
        <v>45754</v>
      </c>
      <c r="B8" s="26">
        <v>0</v>
      </c>
      <c r="C8" s="26">
        <v>0</v>
      </c>
      <c r="D8" s="26">
        <v>0</v>
      </c>
      <c r="E8" s="26">
        <v>0</v>
      </c>
      <c r="F8" s="26">
        <v>0</v>
      </c>
      <c r="G8" s="26">
        <v>0</v>
      </c>
      <c r="H8" s="26">
        <v>0</v>
      </c>
      <c r="I8" s="26">
        <v>0</v>
      </c>
      <c r="J8" s="26">
        <v>0</v>
      </c>
      <c r="K8" s="26">
        <v>0</v>
      </c>
      <c r="L8" s="1">
        <f>VLOOKUP(Table2[[#This Row],[Date]],SW_LU[],3,TRUE)</f>
        <v>42</v>
      </c>
      <c r="M8" s="13"/>
      <c r="N8" s="24">
        <v>45</v>
      </c>
      <c r="O8" s="25">
        <v>0.02</v>
      </c>
      <c r="P8" s="25">
        <v>0.44</v>
      </c>
      <c r="Q8" s="25">
        <v>0</v>
      </c>
      <c r="R8" s="25">
        <v>0.31</v>
      </c>
      <c r="S8" s="25">
        <v>0.24</v>
      </c>
      <c r="T8" s="22">
        <v>0</v>
      </c>
      <c r="U8" s="25">
        <v>0</v>
      </c>
    </row>
    <row r="9" spans="1:21" x14ac:dyDescent="0.3">
      <c r="A9" s="10">
        <v>45755</v>
      </c>
      <c r="B9" s="26">
        <v>0</v>
      </c>
      <c r="C9" s="26">
        <v>0</v>
      </c>
      <c r="D9" s="26">
        <v>0</v>
      </c>
      <c r="E9" s="26">
        <v>0</v>
      </c>
      <c r="F9" s="26">
        <v>0</v>
      </c>
      <c r="G9" s="26">
        <v>0</v>
      </c>
      <c r="H9" s="26">
        <v>0</v>
      </c>
      <c r="I9" s="26">
        <v>0</v>
      </c>
      <c r="J9" s="26">
        <v>0</v>
      </c>
      <c r="K9" s="26">
        <v>0</v>
      </c>
      <c r="L9" s="1">
        <f>VLOOKUP(Table2[[#This Row],[Date]],SW_LU[],3,TRUE)</f>
        <v>42</v>
      </c>
      <c r="M9" s="13"/>
      <c r="N9" s="24">
        <v>51</v>
      </c>
      <c r="O9" s="25">
        <v>7.0000000000000007E-2</v>
      </c>
      <c r="P9" s="25">
        <v>1.75</v>
      </c>
      <c r="Q9" s="25">
        <v>0</v>
      </c>
      <c r="R9" s="25">
        <v>1.24</v>
      </c>
      <c r="S9" s="25">
        <v>0.95</v>
      </c>
      <c r="T9" s="22">
        <v>0</v>
      </c>
      <c r="U9" s="25">
        <v>0</v>
      </c>
    </row>
    <row r="10" spans="1:21" x14ac:dyDescent="0.3">
      <c r="A10" s="10">
        <v>45756</v>
      </c>
      <c r="B10" s="26">
        <v>0</v>
      </c>
      <c r="C10" s="26">
        <v>0</v>
      </c>
      <c r="D10" s="26">
        <v>0</v>
      </c>
      <c r="E10" s="26">
        <v>0</v>
      </c>
      <c r="F10" s="26">
        <v>0</v>
      </c>
      <c r="G10" s="26">
        <v>0</v>
      </c>
      <c r="H10" s="26">
        <v>0</v>
      </c>
      <c r="I10" s="26">
        <v>0</v>
      </c>
      <c r="J10" s="26">
        <v>0</v>
      </c>
      <c r="K10" s="26">
        <v>0</v>
      </c>
      <c r="L10" s="1">
        <f>VLOOKUP(Table2[[#This Row],[Date]],SW_LU[],3,TRUE)</f>
        <v>42</v>
      </c>
      <c r="M10" s="13"/>
      <c r="N10" s="24">
        <v>52</v>
      </c>
      <c r="O10" s="25">
        <v>0.11000000000000001</v>
      </c>
      <c r="P10" s="25">
        <v>2.63</v>
      </c>
      <c r="Q10" s="25">
        <v>0</v>
      </c>
      <c r="R10" s="25">
        <v>1.86</v>
      </c>
      <c r="S10" s="25">
        <v>1.43</v>
      </c>
      <c r="T10" s="22">
        <v>0</v>
      </c>
      <c r="U10" s="25">
        <v>0</v>
      </c>
    </row>
    <row r="11" spans="1:21" x14ac:dyDescent="0.3">
      <c r="A11" s="10">
        <v>45757</v>
      </c>
      <c r="B11" s="26">
        <v>0</v>
      </c>
      <c r="C11" s="26">
        <v>0</v>
      </c>
      <c r="D11" s="26">
        <v>0</v>
      </c>
      <c r="E11" s="26">
        <v>0</v>
      </c>
      <c r="F11" s="26">
        <v>0</v>
      </c>
      <c r="G11" s="26">
        <v>0</v>
      </c>
      <c r="H11" s="26">
        <v>0</v>
      </c>
      <c r="I11" s="26">
        <v>0</v>
      </c>
      <c r="J11" s="26">
        <v>0</v>
      </c>
      <c r="K11" s="26">
        <v>0</v>
      </c>
      <c r="L11" s="1">
        <f>VLOOKUP(Table2[[#This Row],[Date]],SW_LU[],3,TRUE)</f>
        <v>43</v>
      </c>
      <c r="M11" s="13"/>
      <c r="N11" s="24">
        <v>53</v>
      </c>
      <c r="O11" s="25">
        <v>0.66</v>
      </c>
      <c r="P11" s="25">
        <v>15.71</v>
      </c>
      <c r="Q11" s="25">
        <v>0</v>
      </c>
      <c r="R11" s="25">
        <v>11.13</v>
      </c>
      <c r="S11" s="25">
        <v>8.51</v>
      </c>
      <c r="T11" s="22">
        <v>0</v>
      </c>
      <c r="U11" s="25">
        <v>0</v>
      </c>
    </row>
    <row r="12" spans="1:21" x14ac:dyDescent="0.3">
      <c r="A12" s="10">
        <v>45758</v>
      </c>
      <c r="B12" s="26">
        <v>0</v>
      </c>
      <c r="C12" s="26">
        <v>0</v>
      </c>
      <c r="D12" s="26">
        <v>0</v>
      </c>
      <c r="E12" s="26">
        <v>0</v>
      </c>
      <c r="F12" s="26">
        <v>0</v>
      </c>
      <c r="G12" s="26">
        <v>0</v>
      </c>
      <c r="H12" s="26">
        <v>0</v>
      </c>
      <c r="I12" s="26">
        <v>0</v>
      </c>
      <c r="J12" s="26">
        <v>0</v>
      </c>
      <c r="K12" s="26">
        <v>0</v>
      </c>
      <c r="L12" s="1">
        <f>VLOOKUP(Table2[[#This Row],[Date]],SW_LU[],3,TRUE)</f>
        <v>43</v>
      </c>
      <c r="M12" s="13"/>
      <c r="N12" s="24">
        <v>54</v>
      </c>
      <c r="O12" s="25">
        <v>3</v>
      </c>
      <c r="P12" s="25">
        <v>71.990000000000009</v>
      </c>
      <c r="Q12" s="25">
        <v>0</v>
      </c>
      <c r="R12" s="25">
        <v>51.01</v>
      </c>
      <c r="S12" s="25">
        <v>39</v>
      </c>
      <c r="T12" s="22">
        <v>0</v>
      </c>
      <c r="U12" s="25">
        <v>0</v>
      </c>
    </row>
    <row r="13" spans="1:21" x14ac:dyDescent="0.3">
      <c r="A13" s="10">
        <v>45759</v>
      </c>
      <c r="B13" s="26">
        <v>0</v>
      </c>
      <c r="C13" s="26">
        <v>0</v>
      </c>
      <c r="D13" s="26">
        <v>0</v>
      </c>
      <c r="E13" s="26">
        <v>0</v>
      </c>
      <c r="F13" s="26">
        <v>0</v>
      </c>
      <c r="G13" s="26">
        <v>0</v>
      </c>
      <c r="H13" s="26">
        <v>0</v>
      </c>
      <c r="I13" s="26">
        <v>0</v>
      </c>
      <c r="J13" s="26">
        <v>0</v>
      </c>
      <c r="K13" s="26">
        <v>0</v>
      </c>
      <c r="L13" s="1">
        <f>VLOOKUP(Table2[[#This Row],[Date]],SW_LU[],3,TRUE)</f>
        <v>43</v>
      </c>
      <c r="M13" s="13"/>
      <c r="N13" s="24">
        <v>61</v>
      </c>
      <c r="O13" s="25">
        <v>27.08</v>
      </c>
      <c r="P13" s="25">
        <v>649.21</v>
      </c>
      <c r="Q13" s="25">
        <v>0</v>
      </c>
      <c r="R13" s="25">
        <v>459.93999999999994</v>
      </c>
      <c r="S13" s="25">
        <v>351.76</v>
      </c>
      <c r="T13" s="22">
        <v>0</v>
      </c>
      <c r="U13" s="25">
        <v>0</v>
      </c>
    </row>
    <row r="14" spans="1:21" x14ac:dyDescent="0.3">
      <c r="A14" s="10">
        <v>45760</v>
      </c>
      <c r="B14" s="26">
        <v>0</v>
      </c>
      <c r="C14" s="26">
        <v>0</v>
      </c>
      <c r="D14" s="26">
        <v>0</v>
      </c>
      <c r="E14" s="26">
        <v>0</v>
      </c>
      <c r="F14" s="26">
        <v>0</v>
      </c>
      <c r="G14" s="26">
        <v>0</v>
      </c>
      <c r="H14" s="26">
        <v>0</v>
      </c>
      <c r="I14" s="26">
        <v>0</v>
      </c>
      <c r="J14" s="26">
        <v>0</v>
      </c>
      <c r="K14" s="26">
        <v>0</v>
      </c>
      <c r="L14" s="1">
        <f>VLOOKUP(Table2[[#This Row],[Date]],SW_LU[],3,TRUE)</f>
        <v>43</v>
      </c>
      <c r="M14" s="13"/>
      <c r="N14" s="24">
        <v>62</v>
      </c>
      <c r="O14" s="25">
        <v>53.22</v>
      </c>
      <c r="P14" s="25">
        <v>1276.18</v>
      </c>
      <c r="Q14" s="25">
        <v>0</v>
      </c>
      <c r="R14" s="25">
        <v>904.13999999999987</v>
      </c>
      <c r="S14" s="25">
        <v>691.47</v>
      </c>
      <c r="T14" s="22">
        <v>0</v>
      </c>
      <c r="U14" s="25">
        <v>0</v>
      </c>
    </row>
    <row r="15" spans="1:21" x14ac:dyDescent="0.3">
      <c r="A15" s="10">
        <v>45761</v>
      </c>
      <c r="B15" s="26">
        <v>0</v>
      </c>
      <c r="C15" s="26">
        <v>0</v>
      </c>
      <c r="D15" s="26">
        <v>0</v>
      </c>
      <c r="E15" s="26">
        <v>0</v>
      </c>
      <c r="F15" s="26">
        <v>0</v>
      </c>
      <c r="G15" s="26">
        <v>0</v>
      </c>
      <c r="H15" s="26">
        <v>0</v>
      </c>
      <c r="I15" s="26">
        <v>0</v>
      </c>
      <c r="J15" s="26">
        <v>0</v>
      </c>
      <c r="K15" s="26">
        <v>0</v>
      </c>
      <c r="L15" s="1">
        <f>VLOOKUP(Table2[[#This Row],[Date]],SW_LU[],3,TRUE)</f>
        <v>43</v>
      </c>
      <c r="M15" s="13"/>
      <c r="N15" s="24">
        <v>63</v>
      </c>
      <c r="O15" s="25">
        <v>1383.6399999999999</v>
      </c>
      <c r="P15" s="25">
        <v>15052.380000000001</v>
      </c>
      <c r="Q15" s="25">
        <v>0</v>
      </c>
      <c r="R15" s="25">
        <v>6176.7999999999993</v>
      </c>
      <c r="S15" s="25">
        <v>4677.17</v>
      </c>
      <c r="T15" s="22">
        <v>0</v>
      </c>
      <c r="U15" s="25">
        <v>0</v>
      </c>
    </row>
    <row r="16" spans="1:21" x14ac:dyDescent="0.3">
      <c r="A16" s="10">
        <v>45762</v>
      </c>
      <c r="B16" s="26">
        <v>1</v>
      </c>
      <c r="C16" s="26">
        <v>0</v>
      </c>
      <c r="D16" s="26">
        <v>0.02</v>
      </c>
      <c r="E16" s="26">
        <v>0.44</v>
      </c>
      <c r="F16" s="26">
        <v>0</v>
      </c>
      <c r="G16" s="26">
        <v>0.31</v>
      </c>
      <c r="H16" s="26">
        <v>0.24</v>
      </c>
      <c r="I16" s="26">
        <v>0</v>
      </c>
      <c r="J16" s="26">
        <v>0</v>
      </c>
      <c r="K16" s="26">
        <v>0</v>
      </c>
      <c r="L16" s="1">
        <f>VLOOKUP(Table2[[#This Row],[Date]],SW_LU[],3,TRUE)</f>
        <v>43</v>
      </c>
      <c r="M16" s="13"/>
      <c r="N16" s="24">
        <v>64</v>
      </c>
      <c r="O16" s="25">
        <v>7504.8600000000006</v>
      </c>
      <c r="P16" s="25">
        <v>46504.83</v>
      </c>
      <c r="Q16" s="25">
        <v>736.46</v>
      </c>
      <c r="R16" s="25">
        <v>20373.61</v>
      </c>
      <c r="S16" s="25">
        <v>16470.78</v>
      </c>
      <c r="T16" s="22">
        <v>0</v>
      </c>
      <c r="U16" s="25">
        <v>368.49</v>
      </c>
    </row>
    <row r="17" spans="1:21" x14ac:dyDescent="0.3">
      <c r="A17" s="10">
        <v>45763</v>
      </c>
      <c r="B17" s="26">
        <v>0</v>
      </c>
      <c r="C17" s="26">
        <v>0</v>
      </c>
      <c r="D17" s="26">
        <v>0</v>
      </c>
      <c r="E17" s="26">
        <v>0</v>
      </c>
      <c r="F17" s="26">
        <v>0</v>
      </c>
      <c r="G17" s="26">
        <v>0</v>
      </c>
      <c r="H17" s="26">
        <v>0</v>
      </c>
      <c r="I17" s="26">
        <v>0</v>
      </c>
      <c r="J17" s="26">
        <v>0</v>
      </c>
      <c r="K17" s="26">
        <v>0</v>
      </c>
      <c r="L17" s="1">
        <f>VLOOKUP(Table2[[#This Row],[Date]],SW_LU[],3,TRUE)</f>
        <v>43</v>
      </c>
      <c r="M17" s="13"/>
      <c r="N17" s="24">
        <v>71</v>
      </c>
      <c r="O17" s="25">
        <v>10265.17</v>
      </c>
      <c r="P17" s="25">
        <v>33114.109999999993</v>
      </c>
      <c r="Q17" s="25">
        <v>2472.0499999999997</v>
      </c>
      <c r="R17" s="25">
        <v>8749.94</v>
      </c>
      <c r="S17" s="25">
        <v>8194.08</v>
      </c>
      <c r="T17" s="22">
        <v>0</v>
      </c>
      <c r="U17" s="25">
        <v>563.68000000000006</v>
      </c>
    </row>
    <row r="18" spans="1:21" x14ac:dyDescent="0.3">
      <c r="A18" s="10">
        <v>45764</v>
      </c>
      <c r="B18" s="26">
        <v>0</v>
      </c>
      <c r="C18" s="26">
        <v>0</v>
      </c>
      <c r="D18" s="26">
        <v>0</v>
      </c>
      <c r="E18" s="26">
        <v>0</v>
      </c>
      <c r="F18" s="26">
        <v>0</v>
      </c>
      <c r="G18" s="26">
        <v>0</v>
      </c>
      <c r="H18" s="26">
        <v>0</v>
      </c>
      <c r="I18" s="26">
        <v>0</v>
      </c>
      <c r="J18" s="26">
        <v>0</v>
      </c>
      <c r="K18" s="26">
        <v>0</v>
      </c>
      <c r="L18" s="1">
        <f>VLOOKUP(Table2[[#This Row],[Date]],SW_LU[],3,TRUE)</f>
        <v>44</v>
      </c>
      <c r="M18" s="13"/>
      <c r="N18" s="24">
        <v>72</v>
      </c>
      <c r="O18" s="25">
        <v>14294.99</v>
      </c>
      <c r="P18" s="25">
        <v>23949.95</v>
      </c>
      <c r="Q18" s="25">
        <v>3336.0899999999997</v>
      </c>
      <c r="R18" s="25">
        <v>5006.5499999999993</v>
      </c>
      <c r="S18" s="25">
        <v>5667.85</v>
      </c>
      <c r="T18" s="22">
        <v>0</v>
      </c>
      <c r="U18" s="25">
        <v>627.6</v>
      </c>
    </row>
    <row r="19" spans="1:21" x14ac:dyDescent="0.3">
      <c r="A19" s="10">
        <v>45765</v>
      </c>
      <c r="B19" s="26">
        <v>0</v>
      </c>
      <c r="C19" s="26">
        <v>0</v>
      </c>
      <c r="D19" s="26">
        <v>0</v>
      </c>
      <c r="E19" s="26">
        <v>0</v>
      </c>
      <c r="F19" s="26">
        <v>0</v>
      </c>
      <c r="G19" s="26">
        <v>0</v>
      </c>
      <c r="H19" s="26">
        <v>0</v>
      </c>
      <c r="I19" s="26">
        <v>0</v>
      </c>
      <c r="J19" s="26">
        <v>0</v>
      </c>
      <c r="K19" s="26">
        <v>0</v>
      </c>
      <c r="L19" s="1">
        <f>VLOOKUP(Table2[[#This Row],[Date]],SW_LU[],3,TRUE)</f>
        <v>44</v>
      </c>
      <c r="M19" s="13"/>
      <c r="N19" s="24">
        <v>73</v>
      </c>
      <c r="O19" s="25">
        <v>15087.640000000001</v>
      </c>
      <c r="P19" s="25">
        <v>23752.97</v>
      </c>
      <c r="Q19" s="25">
        <v>1351.28</v>
      </c>
      <c r="R19" s="25">
        <v>6583.33</v>
      </c>
      <c r="S19" s="25">
        <v>5704.7800000000007</v>
      </c>
      <c r="T19" s="22">
        <v>0</v>
      </c>
      <c r="U19" s="25">
        <v>0</v>
      </c>
    </row>
    <row r="20" spans="1:21" x14ac:dyDescent="0.3">
      <c r="A20" s="10">
        <v>45766</v>
      </c>
      <c r="B20" s="26">
        <v>2</v>
      </c>
      <c r="C20" s="26">
        <v>0</v>
      </c>
      <c r="D20" s="26">
        <v>0.04</v>
      </c>
      <c r="E20" s="26">
        <v>0.87</v>
      </c>
      <c r="F20" s="26">
        <v>0</v>
      </c>
      <c r="G20" s="26">
        <v>0.62</v>
      </c>
      <c r="H20" s="26">
        <v>0.47</v>
      </c>
      <c r="I20" s="26">
        <v>0</v>
      </c>
      <c r="J20" s="26">
        <v>0</v>
      </c>
      <c r="K20" s="26">
        <v>0</v>
      </c>
      <c r="L20" s="1">
        <f>VLOOKUP(Table2[[#This Row],[Date]],SW_LU[],3,TRUE)</f>
        <v>44</v>
      </c>
      <c r="M20" s="13"/>
      <c r="N20" s="24">
        <v>74</v>
      </c>
      <c r="O20" s="25">
        <v>8969.35</v>
      </c>
      <c r="P20" s="25">
        <v>6217.83</v>
      </c>
      <c r="Q20" s="25">
        <v>2402.11</v>
      </c>
      <c r="R20" s="25">
        <v>2947.09</v>
      </c>
      <c r="S20" s="25">
        <v>2126.6799999999998</v>
      </c>
      <c r="T20" s="22">
        <v>0</v>
      </c>
      <c r="U20" s="25">
        <v>274.95999999999998</v>
      </c>
    </row>
    <row r="21" spans="1:21" x14ac:dyDescent="0.3">
      <c r="A21" s="10">
        <v>45767</v>
      </c>
      <c r="B21" s="26">
        <v>0</v>
      </c>
      <c r="C21" s="26">
        <v>0</v>
      </c>
      <c r="D21" s="26">
        <v>0</v>
      </c>
      <c r="E21" s="26">
        <v>0</v>
      </c>
      <c r="F21" s="26">
        <v>0</v>
      </c>
      <c r="G21" s="26">
        <v>0</v>
      </c>
      <c r="H21" s="26">
        <v>0</v>
      </c>
      <c r="I21" s="26">
        <v>0</v>
      </c>
      <c r="J21" s="26">
        <v>0</v>
      </c>
      <c r="K21" s="26">
        <v>0</v>
      </c>
      <c r="L21" s="1">
        <f>VLOOKUP(Table2[[#This Row],[Date]],SW_LU[],3,TRUE)</f>
        <v>44</v>
      </c>
      <c r="M21" s="13"/>
      <c r="N21" s="24">
        <v>75</v>
      </c>
      <c r="O21" s="25">
        <v>13331.27</v>
      </c>
      <c r="P21" s="25">
        <v>21418.609999999997</v>
      </c>
      <c r="Q21" s="25">
        <v>2769.38</v>
      </c>
      <c r="R21" s="25">
        <v>6710.8099999999995</v>
      </c>
      <c r="S21" s="25">
        <v>8120.93</v>
      </c>
      <c r="T21" s="22">
        <v>0</v>
      </c>
      <c r="U21" s="25">
        <v>213.01</v>
      </c>
    </row>
    <row r="22" spans="1:21" x14ac:dyDescent="0.3">
      <c r="A22" s="10">
        <v>45768</v>
      </c>
      <c r="B22" s="26">
        <v>0</v>
      </c>
      <c r="C22" s="26">
        <v>0</v>
      </c>
      <c r="D22" s="26">
        <v>0</v>
      </c>
      <c r="E22" s="26">
        <v>0</v>
      </c>
      <c r="F22" s="26">
        <v>0</v>
      </c>
      <c r="G22" s="26">
        <v>0</v>
      </c>
      <c r="H22" s="26">
        <v>0</v>
      </c>
      <c r="I22" s="26">
        <v>0</v>
      </c>
      <c r="J22" s="26">
        <v>0</v>
      </c>
      <c r="K22" s="26">
        <v>0</v>
      </c>
      <c r="L22" s="1">
        <f>VLOOKUP(Table2[[#This Row],[Date]],SW_LU[],3,TRUE)</f>
        <v>44</v>
      </c>
      <c r="M22" s="13"/>
      <c r="N22" s="24">
        <v>81</v>
      </c>
      <c r="O22" s="25">
        <v>10264.61</v>
      </c>
      <c r="P22" s="25">
        <v>15002.859999999999</v>
      </c>
      <c r="Q22" s="25">
        <v>790.44999999999993</v>
      </c>
      <c r="R22" s="25">
        <v>3948.5099999999998</v>
      </c>
      <c r="S22" s="25">
        <v>6316.13</v>
      </c>
      <c r="T22" s="22">
        <v>0</v>
      </c>
      <c r="U22" s="25">
        <v>790.44999999999993</v>
      </c>
    </row>
    <row r="23" spans="1:21" x14ac:dyDescent="0.3">
      <c r="A23" s="10">
        <v>45769</v>
      </c>
      <c r="B23" s="26">
        <v>1</v>
      </c>
      <c r="C23" s="26">
        <v>0</v>
      </c>
      <c r="D23" s="26">
        <v>0.02</v>
      </c>
      <c r="E23" s="26">
        <v>0.44</v>
      </c>
      <c r="F23" s="26">
        <v>0</v>
      </c>
      <c r="G23" s="26">
        <v>0.31</v>
      </c>
      <c r="H23" s="26">
        <v>0.24</v>
      </c>
      <c r="I23" s="26">
        <v>0</v>
      </c>
      <c r="J23" s="26">
        <v>0</v>
      </c>
      <c r="K23" s="26">
        <v>0</v>
      </c>
      <c r="L23" s="1">
        <f>VLOOKUP(Table2[[#This Row],[Date]],SW_LU[],3,TRUE)</f>
        <v>44</v>
      </c>
      <c r="M23" s="13"/>
      <c r="N23" s="24">
        <v>82</v>
      </c>
      <c r="O23" s="25">
        <v>2776.7799999999997</v>
      </c>
      <c r="P23" s="25">
        <v>4057.7600000000007</v>
      </c>
      <c r="Q23" s="25">
        <v>213.82999999999998</v>
      </c>
      <c r="R23" s="25">
        <v>1068.1500000000001</v>
      </c>
      <c r="S23" s="25">
        <v>1708.64</v>
      </c>
      <c r="T23" s="22">
        <v>0</v>
      </c>
      <c r="U23" s="25">
        <v>213.82999999999998</v>
      </c>
    </row>
    <row r="24" spans="1:21" x14ac:dyDescent="0.3">
      <c r="A24" s="10">
        <v>45770</v>
      </c>
      <c r="B24" s="26">
        <v>0</v>
      </c>
      <c r="C24" s="26">
        <v>0</v>
      </c>
      <c r="D24" s="26">
        <v>0</v>
      </c>
      <c r="E24" s="26">
        <v>0</v>
      </c>
      <c r="F24" s="26">
        <v>0</v>
      </c>
      <c r="G24" s="26">
        <v>0</v>
      </c>
      <c r="H24" s="26">
        <v>0</v>
      </c>
      <c r="I24" s="26">
        <v>0</v>
      </c>
      <c r="J24" s="26">
        <v>0</v>
      </c>
      <c r="K24" s="26">
        <v>0</v>
      </c>
      <c r="L24" s="1">
        <f>VLOOKUP(Table2[[#This Row],[Date]],SW_LU[],3,TRUE)</f>
        <v>44</v>
      </c>
      <c r="M24" s="13"/>
      <c r="N24" s="24">
        <v>83</v>
      </c>
      <c r="O24" s="25">
        <v>2605.2800000000002</v>
      </c>
      <c r="P24" s="25">
        <v>3808.1600000000003</v>
      </c>
      <c r="Q24" s="25">
        <v>200.63000000000002</v>
      </c>
      <c r="R24" s="25">
        <v>1002.1800000000001</v>
      </c>
      <c r="S24" s="25">
        <v>1603.1100000000001</v>
      </c>
      <c r="T24" s="22">
        <v>0</v>
      </c>
      <c r="U24" s="25">
        <v>200.63000000000002</v>
      </c>
    </row>
    <row r="25" spans="1:21" x14ac:dyDescent="0.3">
      <c r="A25" s="10">
        <v>45771</v>
      </c>
      <c r="B25" s="26">
        <v>0</v>
      </c>
      <c r="C25" s="26">
        <v>0</v>
      </c>
      <c r="D25" s="26">
        <v>0</v>
      </c>
      <c r="E25" s="26">
        <v>0</v>
      </c>
      <c r="F25" s="26">
        <v>0</v>
      </c>
      <c r="G25" s="26">
        <v>0</v>
      </c>
      <c r="H25" s="26">
        <v>0</v>
      </c>
      <c r="I25" s="26">
        <v>0</v>
      </c>
      <c r="J25" s="26">
        <v>0</v>
      </c>
      <c r="K25" s="26">
        <v>0</v>
      </c>
      <c r="L25" s="1">
        <f>VLOOKUP(Table2[[#This Row],[Date]],SW_LU[],3,TRUE)</f>
        <v>45</v>
      </c>
      <c r="M25" s="13"/>
      <c r="N25" s="24">
        <v>84</v>
      </c>
      <c r="O25" s="25">
        <v>2736.68</v>
      </c>
      <c r="P25" s="25">
        <v>3999.17</v>
      </c>
      <c r="Q25" s="25">
        <v>210.75</v>
      </c>
      <c r="R25" s="25">
        <v>1052.73</v>
      </c>
      <c r="S25" s="25">
        <v>1683.9699999999998</v>
      </c>
      <c r="T25" s="22">
        <v>0</v>
      </c>
      <c r="U25" s="25">
        <v>210.75</v>
      </c>
    </row>
    <row r="26" spans="1:21" x14ac:dyDescent="0.3">
      <c r="A26" s="10">
        <v>45772</v>
      </c>
      <c r="B26" s="26">
        <v>0</v>
      </c>
      <c r="C26" s="26">
        <v>0</v>
      </c>
      <c r="D26" s="26">
        <v>0</v>
      </c>
      <c r="E26" s="26">
        <v>0</v>
      </c>
      <c r="F26" s="26">
        <v>0</v>
      </c>
      <c r="G26" s="26">
        <v>0</v>
      </c>
      <c r="H26" s="26">
        <v>0</v>
      </c>
      <c r="I26" s="26">
        <v>0</v>
      </c>
      <c r="J26" s="26">
        <v>0</v>
      </c>
      <c r="K26" s="26">
        <v>0</v>
      </c>
      <c r="L26" s="1">
        <f>VLOOKUP(Table2[[#This Row],[Date]],SW_LU[],3,TRUE)</f>
        <v>45</v>
      </c>
      <c r="M26" s="13"/>
      <c r="N26" s="24">
        <v>91</v>
      </c>
      <c r="O26" s="25">
        <v>1142.6399999999999</v>
      </c>
      <c r="P26" s="25">
        <v>1669.75</v>
      </c>
      <c r="Q26" s="25">
        <v>87.98</v>
      </c>
      <c r="R26" s="25">
        <v>439.53999999999996</v>
      </c>
      <c r="S26" s="25">
        <v>703.08999999999992</v>
      </c>
      <c r="T26" s="22">
        <v>0</v>
      </c>
      <c r="U26" s="25">
        <v>87.98</v>
      </c>
    </row>
    <row r="27" spans="1:21" x14ac:dyDescent="0.3">
      <c r="A27" s="10">
        <v>45773</v>
      </c>
      <c r="B27" s="26">
        <v>0</v>
      </c>
      <c r="C27" s="26">
        <v>0</v>
      </c>
      <c r="D27" s="26">
        <v>0</v>
      </c>
      <c r="E27" s="26">
        <v>0</v>
      </c>
      <c r="F27" s="26">
        <v>0</v>
      </c>
      <c r="G27" s="26">
        <v>0</v>
      </c>
      <c r="H27" s="26">
        <v>0</v>
      </c>
      <c r="I27" s="26">
        <v>0</v>
      </c>
      <c r="J27" s="26">
        <v>0</v>
      </c>
      <c r="K27" s="26">
        <v>0</v>
      </c>
      <c r="L27" s="1">
        <f>VLOOKUP(Table2[[#This Row],[Date]],SW_LU[],3,TRUE)</f>
        <v>45</v>
      </c>
      <c r="M27" s="13"/>
      <c r="N27" s="24">
        <v>92</v>
      </c>
      <c r="O27" s="25">
        <v>804.08999999999992</v>
      </c>
      <c r="P27" s="25">
        <v>1175.01</v>
      </c>
      <c r="Q27" s="25">
        <v>61.930000000000007</v>
      </c>
      <c r="R27" s="25">
        <v>309.31</v>
      </c>
      <c r="S27" s="25">
        <v>494.77</v>
      </c>
      <c r="T27" s="22">
        <v>0</v>
      </c>
      <c r="U27" s="25">
        <v>61.930000000000007</v>
      </c>
    </row>
    <row r="28" spans="1:21" x14ac:dyDescent="0.3">
      <c r="A28" s="10">
        <v>45774</v>
      </c>
      <c r="B28" s="26">
        <v>0</v>
      </c>
      <c r="C28" s="26">
        <v>0</v>
      </c>
      <c r="D28" s="26">
        <v>0</v>
      </c>
      <c r="E28" s="26">
        <v>0</v>
      </c>
      <c r="F28" s="26">
        <v>0</v>
      </c>
      <c r="G28" s="26">
        <v>0</v>
      </c>
      <c r="H28" s="26">
        <v>0</v>
      </c>
      <c r="I28" s="26">
        <v>0</v>
      </c>
      <c r="J28" s="26">
        <v>0</v>
      </c>
      <c r="K28" s="26">
        <v>0</v>
      </c>
      <c r="L28" s="1">
        <f>VLOOKUP(Table2[[#This Row],[Date]],SW_LU[],3,TRUE)</f>
        <v>45</v>
      </c>
      <c r="M28" s="13"/>
      <c r="N28" s="24">
        <v>93</v>
      </c>
      <c r="O28" s="25">
        <v>1386.0400000000002</v>
      </c>
      <c r="P28" s="25">
        <v>2025.4399999999998</v>
      </c>
      <c r="Q28" s="25">
        <v>106.74</v>
      </c>
      <c r="R28" s="25">
        <v>533.17000000000007</v>
      </c>
      <c r="S28" s="25">
        <v>852.88000000000011</v>
      </c>
      <c r="T28" s="22">
        <v>0</v>
      </c>
      <c r="U28" s="25">
        <v>106.74</v>
      </c>
    </row>
    <row r="29" spans="1:21" x14ac:dyDescent="0.3">
      <c r="A29" s="10">
        <v>45775</v>
      </c>
      <c r="B29" s="26">
        <v>0</v>
      </c>
      <c r="C29" s="26">
        <v>0</v>
      </c>
      <c r="D29" s="26">
        <v>0</v>
      </c>
      <c r="E29" s="26">
        <v>0</v>
      </c>
      <c r="F29" s="26">
        <v>0</v>
      </c>
      <c r="G29" s="26">
        <v>0</v>
      </c>
      <c r="H29" s="26">
        <v>0</v>
      </c>
      <c r="I29" s="26">
        <v>0</v>
      </c>
      <c r="J29" s="26">
        <v>0</v>
      </c>
      <c r="K29" s="26">
        <v>0</v>
      </c>
      <c r="L29" s="1">
        <f>VLOOKUP(Table2[[#This Row],[Date]],SW_LU[],3,TRUE)</f>
        <v>45</v>
      </c>
      <c r="M29" s="13"/>
      <c r="N29" s="24">
        <v>94</v>
      </c>
      <c r="O29" s="25">
        <v>203.58999999999997</v>
      </c>
      <c r="P29" s="25">
        <v>297.48</v>
      </c>
      <c r="Q29" s="25">
        <v>15.670000000000002</v>
      </c>
      <c r="R29" s="25">
        <v>78.31</v>
      </c>
      <c r="S29" s="25">
        <v>125.25999999999999</v>
      </c>
      <c r="T29" s="22">
        <v>0</v>
      </c>
      <c r="U29" s="25">
        <v>15.670000000000002</v>
      </c>
    </row>
    <row r="30" spans="1:21" x14ac:dyDescent="0.3">
      <c r="A30" s="10">
        <v>45776</v>
      </c>
      <c r="B30" s="26">
        <v>1</v>
      </c>
      <c r="C30" s="26">
        <v>0</v>
      </c>
      <c r="D30" s="26">
        <v>0.02</v>
      </c>
      <c r="E30" s="26">
        <v>0.44</v>
      </c>
      <c r="F30" s="26">
        <v>0</v>
      </c>
      <c r="G30" s="26">
        <v>0.31</v>
      </c>
      <c r="H30" s="26">
        <v>0.24</v>
      </c>
      <c r="I30" s="26">
        <v>0</v>
      </c>
      <c r="J30" s="26">
        <v>0</v>
      </c>
      <c r="K30" s="26">
        <v>0</v>
      </c>
      <c r="L30" s="1">
        <f>VLOOKUP(Table2[[#This Row],[Date]],SW_LU[],3,TRUE)</f>
        <v>45</v>
      </c>
      <c r="M30" s="13"/>
      <c r="N30" s="24">
        <v>101</v>
      </c>
      <c r="O30" s="25">
        <v>157.1</v>
      </c>
      <c r="P30" s="25">
        <v>229.59999999999997</v>
      </c>
      <c r="Q30" s="25">
        <v>12.09</v>
      </c>
      <c r="R30" s="25">
        <v>60.440000000000005</v>
      </c>
      <c r="S30" s="25">
        <v>96.68</v>
      </c>
      <c r="T30" s="22">
        <v>0</v>
      </c>
      <c r="U30" s="25">
        <v>12.09</v>
      </c>
    </row>
    <row r="31" spans="1:21" x14ac:dyDescent="0.3">
      <c r="A31" s="10">
        <v>45777</v>
      </c>
      <c r="B31" s="26">
        <v>0</v>
      </c>
      <c r="C31" s="26">
        <v>0</v>
      </c>
      <c r="D31" s="26">
        <v>0</v>
      </c>
      <c r="E31" s="26">
        <v>0</v>
      </c>
      <c r="F31" s="26">
        <v>0</v>
      </c>
      <c r="G31" s="26">
        <v>0</v>
      </c>
      <c r="H31" s="26">
        <v>0</v>
      </c>
      <c r="I31" s="26">
        <v>0</v>
      </c>
      <c r="J31" s="26">
        <v>0</v>
      </c>
      <c r="K31" s="26">
        <v>0</v>
      </c>
      <c r="L31" s="1">
        <f>VLOOKUP(Table2[[#This Row],[Date]],SW_LU[],3,TRUE)</f>
        <v>45</v>
      </c>
      <c r="M31" s="13"/>
      <c r="N31" s="24">
        <v>102</v>
      </c>
      <c r="O31" s="25">
        <v>87.4</v>
      </c>
      <c r="P31" s="25">
        <v>127.72999999999999</v>
      </c>
      <c r="Q31" s="25">
        <v>6.74</v>
      </c>
      <c r="R31" s="25">
        <v>33.61</v>
      </c>
      <c r="S31" s="25">
        <v>53.78</v>
      </c>
      <c r="T31" s="22">
        <v>0</v>
      </c>
      <c r="U31" s="25">
        <v>6.74</v>
      </c>
    </row>
    <row r="32" spans="1:21" x14ac:dyDescent="0.3">
      <c r="A32" s="10">
        <v>45778</v>
      </c>
      <c r="B32" s="26">
        <v>0</v>
      </c>
      <c r="C32" s="26">
        <v>0</v>
      </c>
      <c r="D32" s="26">
        <v>0</v>
      </c>
      <c r="E32" s="26">
        <v>0</v>
      </c>
      <c r="F32" s="26">
        <v>0</v>
      </c>
      <c r="G32" s="26">
        <v>0</v>
      </c>
      <c r="H32" s="26">
        <v>0</v>
      </c>
      <c r="I32" s="26">
        <v>0</v>
      </c>
      <c r="J32" s="26">
        <v>0</v>
      </c>
      <c r="K32" s="26">
        <v>0</v>
      </c>
      <c r="L32" s="1">
        <f>VLOOKUP(Table2[[#This Row],[Date]],SW_LU[],3,TRUE)</f>
        <v>51</v>
      </c>
      <c r="M32" s="13"/>
      <c r="N32" s="24">
        <v>103</v>
      </c>
      <c r="O32" s="25">
        <v>17.97</v>
      </c>
      <c r="P32" s="25">
        <v>26.279999999999994</v>
      </c>
      <c r="Q32" s="25">
        <v>1.3900000000000003</v>
      </c>
      <c r="R32" s="25">
        <v>6.910000000000001</v>
      </c>
      <c r="S32" s="25">
        <v>11.049999999999999</v>
      </c>
      <c r="T32" s="22">
        <v>0</v>
      </c>
      <c r="U32" s="25">
        <v>1.3900000000000003</v>
      </c>
    </row>
    <row r="33" spans="1:21" x14ac:dyDescent="0.3">
      <c r="A33" s="10">
        <v>45779</v>
      </c>
      <c r="B33" s="26">
        <v>1</v>
      </c>
      <c r="C33" s="26">
        <v>0</v>
      </c>
      <c r="D33" s="26">
        <v>0.02</v>
      </c>
      <c r="E33" s="26">
        <v>0.44</v>
      </c>
      <c r="F33" s="26">
        <v>0</v>
      </c>
      <c r="G33" s="26">
        <v>0.31</v>
      </c>
      <c r="H33" s="26">
        <v>0.24</v>
      </c>
      <c r="I33" s="26">
        <v>0</v>
      </c>
      <c r="J33" s="26">
        <v>0</v>
      </c>
      <c r="K33" s="26">
        <v>0</v>
      </c>
      <c r="L33" s="1">
        <f>VLOOKUP(Table2[[#This Row],[Date]],SW_LU[],3,TRUE)</f>
        <v>51</v>
      </c>
      <c r="M33" s="13"/>
      <c r="N33" s="24">
        <v>104</v>
      </c>
      <c r="O33" s="25">
        <v>28.22</v>
      </c>
      <c r="P33" s="25">
        <v>41.230000000000004</v>
      </c>
      <c r="Q33" s="25">
        <v>2.17</v>
      </c>
      <c r="R33" s="25">
        <v>10.85</v>
      </c>
      <c r="S33" s="25">
        <v>17.350000000000001</v>
      </c>
      <c r="T33" s="22">
        <v>0</v>
      </c>
      <c r="U33" s="25">
        <v>2.17</v>
      </c>
    </row>
    <row r="34" spans="1:21" x14ac:dyDescent="0.3">
      <c r="A34" s="10">
        <v>45780</v>
      </c>
      <c r="B34" s="26">
        <v>0</v>
      </c>
      <c r="C34" s="26">
        <v>0</v>
      </c>
      <c r="D34" s="26">
        <v>0</v>
      </c>
      <c r="E34" s="26">
        <v>0</v>
      </c>
      <c r="F34" s="26">
        <v>0</v>
      </c>
      <c r="G34" s="26">
        <v>0</v>
      </c>
      <c r="H34" s="26">
        <v>0</v>
      </c>
      <c r="I34" s="26">
        <v>0</v>
      </c>
      <c r="J34" s="26">
        <v>0</v>
      </c>
      <c r="K34" s="26">
        <v>0</v>
      </c>
      <c r="L34" s="1">
        <f>VLOOKUP(Table2[[#This Row],[Date]],SW_LU[],3,TRUE)</f>
        <v>51</v>
      </c>
      <c r="M34" s="13"/>
      <c r="N34" s="24">
        <v>105</v>
      </c>
      <c r="O34" s="25">
        <v>1.94</v>
      </c>
      <c r="P34" s="25">
        <v>2.83</v>
      </c>
      <c r="Q34" s="25">
        <v>0.15</v>
      </c>
      <c r="R34" s="25">
        <v>0.74</v>
      </c>
      <c r="S34" s="25">
        <v>1.19</v>
      </c>
      <c r="T34" s="22">
        <v>0</v>
      </c>
      <c r="U34" s="25">
        <v>0.15</v>
      </c>
    </row>
    <row r="35" spans="1:21" x14ac:dyDescent="0.3">
      <c r="A35" s="10">
        <v>45781</v>
      </c>
      <c r="B35" s="26">
        <v>0</v>
      </c>
      <c r="C35" s="26">
        <v>0</v>
      </c>
      <c r="D35" s="26">
        <v>0</v>
      </c>
      <c r="E35" s="26">
        <v>0</v>
      </c>
      <c r="F35" s="26">
        <v>0</v>
      </c>
      <c r="G35" s="26">
        <v>0</v>
      </c>
      <c r="H35" s="26">
        <v>0</v>
      </c>
      <c r="I35" s="26">
        <v>0</v>
      </c>
      <c r="J35" s="26">
        <v>0</v>
      </c>
      <c r="K35" s="26">
        <v>0</v>
      </c>
      <c r="L35" s="1">
        <f>VLOOKUP(Table2[[#This Row],[Date]],SW_LU[],3,TRUE)</f>
        <v>51</v>
      </c>
      <c r="M35" s="13"/>
      <c r="N35" s="24" t="s">
        <v>55</v>
      </c>
      <c r="O35" s="25">
        <v>93133.499999999985</v>
      </c>
      <c r="P35" s="25">
        <v>204493.64</v>
      </c>
      <c r="Q35" s="25">
        <v>14777.889999999998</v>
      </c>
      <c r="R35" s="25">
        <v>66523.450000000026</v>
      </c>
      <c r="S35" s="25">
        <v>65724.479999999981</v>
      </c>
      <c r="T35" s="25">
        <v>0</v>
      </c>
      <c r="U35" s="25">
        <v>3758.2599999999998</v>
      </c>
    </row>
    <row r="36" spans="1:21" x14ac:dyDescent="0.3">
      <c r="A36" s="10">
        <v>45782</v>
      </c>
      <c r="B36" s="26">
        <v>0</v>
      </c>
      <c r="C36" s="26">
        <v>0</v>
      </c>
      <c r="D36" s="26">
        <v>0</v>
      </c>
      <c r="E36" s="26">
        <v>0</v>
      </c>
      <c r="F36" s="26">
        <v>0</v>
      </c>
      <c r="G36" s="26">
        <v>0</v>
      </c>
      <c r="H36" s="26">
        <v>0</v>
      </c>
      <c r="I36" s="26">
        <v>0</v>
      </c>
      <c r="J36" s="26">
        <v>0</v>
      </c>
      <c r="K36" s="26">
        <v>0</v>
      </c>
      <c r="L36" s="1">
        <f>VLOOKUP(Table2[[#This Row],[Date]],SW_LU[],3,TRUE)</f>
        <v>51</v>
      </c>
      <c r="M36" s="13"/>
      <c r="N36" s="13"/>
      <c r="O36" s="13"/>
      <c r="P36" s="13"/>
      <c r="Q36" s="13"/>
      <c r="R36" s="13"/>
    </row>
    <row r="37" spans="1:21" x14ac:dyDescent="0.3">
      <c r="A37" s="10">
        <v>45783</v>
      </c>
      <c r="B37" s="26">
        <v>0</v>
      </c>
      <c r="C37" s="26">
        <v>0</v>
      </c>
      <c r="D37" s="26">
        <v>0</v>
      </c>
      <c r="E37" s="26">
        <v>0</v>
      </c>
      <c r="F37" s="26">
        <v>0</v>
      </c>
      <c r="G37" s="26">
        <v>0</v>
      </c>
      <c r="H37" s="26">
        <v>0</v>
      </c>
      <c r="I37" s="26">
        <v>0</v>
      </c>
      <c r="J37" s="26">
        <v>0</v>
      </c>
      <c r="K37" s="26">
        <v>0</v>
      </c>
      <c r="L37" s="1">
        <f>VLOOKUP(Table2[[#This Row],[Date]],SW_LU[],3,TRUE)</f>
        <v>51</v>
      </c>
      <c r="M37" s="13"/>
      <c r="N37" s="13"/>
      <c r="O37" s="13"/>
      <c r="P37" s="13"/>
      <c r="Q37" s="13"/>
      <c r="R37" s="13"/>
    </row>
    <row r="38" spans="1:21" x14ac:dyDescent="0.3">
      <c r="A38" s="10">
        <v>45784</v>
      </c>
      <c r="B38" s="26">
        <v>3</v>
      </c>
      <c r="C38" s="26">
        <v>0</v>
      </c>
      <c r="D38" s="26">
        <v>0.05</v>
      </c>
      <c r="E38" s="26">
        <v>1.31</v>
      </c>
      <c r="F38" s="26">
        <v>0</v>
      </c>
      <c r="G38" s="26">
        <v>0.93</v>
      </c>
      <c r="H38" s="26">
        <v>0.71</v>
      </c>
      <c r="I38" s="26">
        <v>0</v>
      </c>
      <c r="J38" s="26">
        <v>0</v>
      </c>
      <c r="K38" s="26">
        <v>0</v>
      </c>
      <c r="L38" s="1">
        <f>VLOOKUP(Table2[[#This Row],[Date]],SW_LU[],3,TRUE)</f>
        <v>51</v>
      </c>
      <c r="M38" s="13"/>
      <c r="N38" s="13"/>
      <c r="O38" s="13"/>
      <c r="P38" s="13"/>
      <c r="Q38" s="13"/>
      <c r="R38" s="13"/>
    </row>
    <row r="39" spans="1:21" x14ac:dyDescent="0.3">
      <c r="A39" s="10">
        <v>45785</v>
      </c>
      <c r="B39" s="26">
        <v>1</v>
      </c>
      <c r="C39" s="26">
        <v>0</v>
      </c>
      <c r="D39" s="26">
        <v>0.02</v>
      </c>
      <c r="E39" s="26">
        <v>0.44</v>
      </c>
      <c r="F39" s="26">
        <v>0</v>
      </c>
      <c r="G39" s="26">
        <v>0.31</v>
      </c>
      <c r="H39" s="26">
        <v>0.24</v>
      </c>
      <c r="I39" s="26">
        <v>0</v>
      </c>
      <c r="J39" s="26">
        <v>0</v>
      </c>
      <c r="K39" s="26">
        <v>0</v>
      </c>
      <c r="L39" s="1">
        <f>VLOOKUP(Table2[[#This Row],[Date]],SW_LU[],3,TRUE)</f>
        <v>52</v>
      </c>
      <c r="M39" s="13"/>
      <c r="N39" s="13"/>
      <c r="O39" s="13"/>
      <c r="P39" s="13"/>
      <c r="Q39" s="13"/>
      <c r="R39" s="13"/>
    </row>
    <row r="40" spans="1:21" x14ac:dyDescent="0.3">
      <c r="A40" s="10">
        <v>45786</v>
      </c>
      <c r="B40" s="26">
        <v>0</v>
      </c>
      <c r="C40" s="26">
        <v>0</v>
      </c>
      <c r="D40" s="26">
        <v>0</v>
      </c>
      <c r="E40" s="26">
        <v>0</v>
      </c>
      <c r="F40" s="26">
        <v>0</v>
      </c>
      <c r="G40" s="26">
        <v>0</v>
      </c>
      <c r="H40" s="26">
        <v>0</v>
      </c>
      <c r="I40" s="26">
        <v>0</v>
      </c>
      <c r="J40" s="26">
        <v>0</v>
      </c>
      <c r="K40" s="26">
        <v>0</v>
      </c>
      <c r="L40" s="1">
        <f>VLOOKUP(Table2[[#This Row],[Date]],SW_LU[],3,TRUE)</f>
        <v>52</v>
      </c>
      <c r="M40" s="13"/>
      <c r="N40" s="13"/>
      <c r="O40" s="13"/>
      <c r="P40" s="13"/>
      <c r="Q40" s="13"/>
      <c r="R40" s="13"/>
    </row>
    <row r="41" spans="1:21" x14ac:dyDescent="0.3">
      <c r="A41" s="10">
        <v>45787</v>
      </c>
      <c r="B41" s="26">
        <v>0</v>
      </c>
      <c r="C41" s="26">
        <v>0</v>
      </c>
      <c r="D41" s="26">
        <v>0</v>
      </c>
      <c r="E41" s="26">
        <v>0</v>
      </c>
      <c r="F41" s="26">
        <v>0</v>
      </c>
      <c r="G41" s="26">
        <v>0</v>
      </c>
      <c r="H41" s="26">
        <v>0</v>
      </c>
      <c r="I41" s="26">
        <v>0</v>
      </c>
      <c r="J41" s="26">
        <v>0</v>
      </c>
      <c r="K41" s="26">
        <v>0</v>
      </c>
      <c r="L41" s="1">
        <f>VLOOKUP(Table2[[#This Row],[Date]],SW_LU[],3,TRUE)</f>
        <v>52</v>
      </c>
      <c r="M41" s="13"/>
      <c r="N41" s="13"/>
      <c r="O41" s="13"/>
      <c r="P41" s="13"/>
      <c r="Q41" s="13"/>
      <c r="R41" s="13"/>
    </row>
    <row r="42" spans="1:21" x14ac:dyDescent="0.3">
      <c r="A42" s="10">
        <v>45788</v>
      </c>
      <c r="B42" s="26">
        <v>3</v>
      </c>
      <c r="C42" s="26">
        <v>0</v>
      </c>
      <c r="D42" s="26">
        <v>0.05</v>
      </c>
      <c r="E42" s="26">
        <v>1.31</v>
      </c>
      <c r="F42" s="26">
        <v>0</v>
      </c>
      <c r="G42" s="26">
        <v>0.93</v>
      </c>
      <c r="H42" s="26">
        <v>0.71</v>
      </c>
      <c r="I42" s="26">
        <v>0</v>
      </c>
      <c r="J42" s="26">
        <v>0</v>
      </c>
      <c r="K42" s="26">
        <v>0</v>
      </c>
      <c r="L42" s="1">
        <f>VLOOKUP(Table2[[#This Row],[Date]],SW_LU[],3,TRUE)</f>
        <v>52</v>
      </c>
      <c r="M42" s="13"/>
      <c r="N42" s="13"/>
      <c r="O42" s="13"/>
      <c r="P42" s="13"/>
      <c r="Q42" s="13"/>
      <c r="R42" s="13"/>
    </row>
    <row r="43" spans="1:21" x14ac:dyDescent="0.3">
      <c r="A43" s="10">
        <v>45789</v>
      </c>
      <c r="B43" s="26">
        <v>1</v>
      </c>
      <c r="C43" s="26">
        <v>0</v>
      </c>
      <c r="D43" s="26">
        <v>0.02</v>
      </c>
      <c r="E43" s="26">
        <v>0.44</v>
      </c>
      <c r="F43" s="26">
        <v>0</v>
      </c>
      <c r="G43" s="26">
        <v>0.31</v>
      </c>
      <c r="H43" s="26">
        <v>0.24</v>
      </c>
      <c r="I43" s="26">
        <v>0</v>
      </c>
      <c r="J43" s="26">
        <v>0</v>
      </c>
      <c r="K43" s="26">
        <v>0</v>
      </c>
      <c r="L43" s="1">
        <f>VLOOKUP(Table2[[#This Row],[Date]],SW_LU[],3,TRUE)</f>
        <v>52</v>
      </c>
      <c r="M43" s="13"/>
      <c r="N43" s="13"/>
      <c r="O43" s="13"/>
      <c r="P43" s="13"/>
      <c r="Q43" s="13"/>
      <c r="R43" s="13"/>
    </row>
    <row r="44" spans="1:21" x14ac:dyDescent="0.3">
      <c r="A44" s="10">
        <v>45790</v>
      </c>
      <c r="B44" s="26">
        <v>1</v>
      </c>
      <c r="C44" s="26">
        <v>0</v>
      </c>
      <c r="D44" s="26">
        <v>0.02</v>
      </c>
      <c r="E44" s="26">
        <v>0.44</v>
      </c>
      <c r="F44" s="26">
        <v>0</v>
      </c>
      <c r="G44" s="26">
        <v>0.31</v>
      </c>
      <c r="H44" s="26">
        <v>0.24</v>
      </c>
      <c r="I44" s="26">
        <v>0</v>
      </c>
      <c r="J44" s="26">
        <v>0</v>
      </c>
      <c r="K44" s="26">
        <v>0</v>
      </c>
      <c r="L44" s="1">
        <f>VLOOKUP(Table2[[#This Row],[Date]],SW_LU[],3,TRUE)</f>
        <v>52</v>
      </c>
      <c r="M44" s="13"/>
      <c r="N44" s="13"/>
      <c r="O44" s="13"/>
      <c r="P44" s="13"/>
      <c r="Q44" s="13"/>
      <c r="R44" s="13"/>
    </row>
    <row r="45" spans="1:21" x14ac:dyDescent="0.3">
      <c r="A45" s="10">
        <v>45791</v>
      </c>
      <c r="B45" s="26">
        <v>0</v>
      </c>
      <c r="C45" s="26">
        <v>0</v>
      </c>
      <c r="D45" s="26">
        <v>0</v>
      </c>
      <c r="E45" s="26">
        <v>0</v>
      </c>
      <c r="F45" s="26">
        <v>0</v>
      </c>
      <c r="G45" s="26">
        <v>0</v>
      </c>
      <c r="H45" s="26">
        <v>0</v>
      </c>
      <c r="I45" s="26">
        <v>0</v>
      </c>
      <c r="J45" s="26">
        <v>0</v>
      </c>
      <c r="K45" s="26">
        <v>0</v>
      </c>
      <c r="L45" s="1">
        <f>VLOOKUP(Table2[[#This Row],[Date]],SW_LU[],3,TRUE)</f>
        <v>52</v>
      </c>
      <c r="M45" s="13"/>
      <c r="N45" s="13"/>
      <c r="O45" s="13"/>
      <c r="P45" s="13"/>
      <c r="Q45" s="13"/>
      <c r="R45" s="13"/>
    </row>
    <row r="46" spans="1:21" x14ac:dyDescent="0.3">
      <c r="A46" s="10">
        <v>45792</v>
      </c>
      <c r="B46" s="26">
        <v>1</v>
      </c>
      <c r="C46" s="26">
        <v>0</v>
      </c>
      <c r="D46" s="26">
        <v>0.02</v>
      </c>
      <c r="E46" s="26">
        <v>0.44</v>
      </c>
      <c r="F46" s="26">
        <v>0</v>
      </c>
      <c r="G46" s="26">
        <v>0.31</v>
      </c>
      <c r="H46" s="26">
        <v>0.24</v>
      </c>
      <c r="I46" s="26">
        <v>0</v>
      </c>
      <c r="J46" s="26">
        <v>0</v>
      </c>
      <c r="K46" s="26">
        <v>0</v>
      </c>
      <c r="L46" s="1">
        <f>VLOOKUP(Table2[[#This Row],[Date]],SW_LU[],3,TRUE)</f>
        <v>53</v>
      </c>
      <c r="M46" s="13"/>
      <c r="N46" s="13"/>
      <c r="O46" s="13"/>
      <c r="P46" s="13"/>
      <c r="Q46" s="13"/>
      <c r="R46" s="13"/>
    </row>
    <row r="47" spans="1:21" x14ac:dyDescent="0.3">
      <c r="A47" s="10">
        <v>45793</v>
      </c>
      <c r="B47" s="26">
        <v>2</v>
      </c>
      <c r="C47" s="26">
        <v>0</v>
      </c>
      <c r="D47" s="26">
        <v>0.04</v>
      </c>
      <c r="E47" s="26">
        <v>0.87</v>
      </c>
      <c r="F47" s="26">
        <v>0</v>
      </c>
      <c r="G47" s="26">
        <v>0.62</v>
      </c>
      <c r="H47" s="26">
        <v>0.47</v>
      </c>
      <c r="I47" s="26">
        <v>0</v>
      </c>
      <c r="J47" s="26">
        <v>0</v>
      </c>
      <c r="K47" s="26">
        <v>0</v>
      </c>
      <c r="L47" s="1">
        <f>VLOOKUP(Table2[[#This Row],[Date]],SW_LU[],3,TRUE)</f>
        <v>53</v>
      </c>
      <c r="M47" s="13"/>
      <c r="N47" s="13"/>
      <c r="O47" s="13"/>
      <c r="P47" s="13"/>
      <c r="Q47" s="13"/>
      <c r="R47" s="13"/>
    </row>
    <row r="48" spans="1:21" x14ac:dyDescent="0.3">
      <c r="A48" s="10">
        <v>45794</v>
      </c>
      <c r="B48" s="26">
        <v>0</v>
      </c>
      <c r="C48" s="26">
        <v>0</v>
      </c>
      <c r="D48" s="26">
        <v>0</v>
      </c>
      <c r="E48" s="26">
        <v>0</v>
      </c>
      <c r="F48" s="26">
        <v>0</v>
      </c>
      <c r="G48" s="26">
        <v>0</v>
      </c>
      <c r="H48" s="26">
        <v>0</v>
      </c>
      <c r="I48" s="26">
        <v>0</v>
      </c>
      <c r="J48" s="26">
        <v>0</v>
      </c>
      <c r="K48" s="26">
        <v>0</v>
      </c>
      <c r="L48" s="1">
        <f>VLOOKUP(Table2[[#This Row],[Date]],SW_LU[],3,TRUE)</f>
        <v>53</v>
      </c>
      <c r="M48" s="13"/>
      <c r="N48" s="13"/>
      <c r="O48" s="13"/>
      <c r="P48" s="13"/>
      <c r="Q48" s="13"/>
      <c r="R48" s="13"/>
    </row>
    <row r="49" spans="1:18" x14ac:dyDescent="0.3">
      <c r="A49" s="10">
        <v>45795</v>
      </c>
      <c r="B49" s="26">
        <v>3</v>
      </c>
      <c r="C49" s="26">
        <v>0</v>
      </c>
      <c r="D49" s="26">
        <v>0.05</v>
      </c>
      <c r="E49" s="26">
        <v>1.31</v>
      </c>
      <c r="F49" s="26">
        <v>0</v>
      </c>
      <c r="G49" s="26">
        <v>0.93</v>
      </c>
      <c r="H49" s="26">
        <v>0.71</v>
      </c>
      <c r="I49" s="26">
        <v>0</v>
      </c>
      <c r="J49" s="26">
        <v>0</v>
      </c>
      <c r="K49" s="26">
        <v>0</v>
      </c>
      <c r="L49" s="1">
        <f>VLOOKUP(Table2[[#This Row],[Date]],SW_LU[],3,TRUE)</f>
        <v>53</v>
      </c>
      <c r="M49" s="13"/>
      <c r="N49" s="13"/>
      <c r="O49" s="13"/>
      <c r="P49" s="13"/>
      <c r="Q49" s="13"/>
      <c r="R49" s="13"/>
    </row>
    <row r="50" spans="1:18" x14ac:dyDescent="0.3">
      <c r="A50" s="10">
        <v>45796</v>
      </c>
      <c r="B50" s="26">
        <v>2</v>
      </c>
      <c r="C50" s="26">
        <v>0</v>
      </c>
      <c r="D50" s="26">
        <v>0.04</v>
      </c>
      <c r="E50" s="26">
        <v>0.87</v>
      </c>
      <c r="F50" s="26">
        <v>0</v>
      </c>
      <c r="G50" s="26">
        <v>0.62</v>
      </c>
      <c r="H50" s="26">
        <v>0.47</v>
      </c>
      <c r="I50" s="26">
        <v>0</v>
      </c>
      <c r="J50" s="26">
        <v>0</v>
      </c>
      <c r="K50" s="26">
        <v>0</v>
      </c>
      <c r="L50" s="1">
        <f>VLOOKUP(Table2[[#This Row],[Date]],SW_LU[],3,TRUE)</f>
        <v>53</v>
      </c>
      <c r="M50" s="13"/>
      <c r="N50" s="13"/>
      <c r="O50" s="13"/>
      <c r="P50" s="13"/>
      <c r="Q50" s="13"/>
      <c r="R50" s="13"/>
    </row>
    <row r="51" spans="1:18" x14ac:dyDescent="0.3">
      <c r="A51" s="10">
        <v>45797</v>
      </c>
      <c r="B51" s="26">
        <v>20</v>
      </c>
      <c r="C51" s="26">
        <v>0</v>
      </c>
      <c r="D51" s="26">
        <v>0.36</v>
      </c>
      <c r="E51" s="26">
        <v>8.73</v>
      </c>
      <c r="F51" s="26">
        <v>0</v>
      </c>
      <c r="G51" s="26">
        <v>6.18</v>
      </c>
      <c r="H51" s="26">
        <v>4.7300000000000004</v>
      </c>
      <c r="I51" s="26">
        <v>0</v>
      </c>
      <c r="J51" s="26">
        <v>0</v>
      </c>
      <c r="K51" s="26">
        <v>0</v>
      </c>
      <c r="L51" s="1">
        <f>VLOOKUP(Table2[[#This Row],[Date]],SW_LU[],3,TRUE)</f>
        <v>53</v>
      </c>
      <c r="M51" s="13"/>
      <c r="N51" s="13"/>
      <c r="O51" s="13"/>
      <c r="P51" s="13"/>
      <c r="Q51" s="13"/>
      <c r="R51" s="13"/>
    </row>
    <row r="52" spans="1:18" x14ac:dyDescent="0.3">
      <c r="A52" s="10">
        <v>45798</v>
      </c>
      <c r="B52" s="26">
        <v>8</v>
      </c>
      <c r="C52" s="26">
        <v>0</v>
      </c>
      <c r="D52" s="26">
        <v>0.15</v>
      </c>
      <c r="E52" s="26">
        <v>3.49</v>
      </c>
      <c r="F52" s="26">
        <v>0</v>
      </c>
      <c r="G52" s="26">
        <v>2.4700000000000002</v>
      </c>
      <c r="H52" s="26">
        <v>1.89</v>
      </c>
      <c r="I52" s="26">
        <v>0</v>
      </c>
      <c r="J52" s="26">
        <v>0</v>
      </c>
      <c r="K52" s="26">
        <v>0</v>
      </c>
      <c r="L52" s="1">
        <f>VLOOKUP(Table2[[#This Row],[Date]],SW_LU[],3,TRUE)</f>
        <v>53</v>
      </c>
      <c r="M52" s="13"/>
      <c r="N52" s="13"/>
      <c r="O52" s="13"/>
      <c r="P52" s="13"/>
      <c r="Q52" s="13"/>
      <c r="R52" s="13"/>
    </row>
    <row r="53" spans="1:18" x14ac:dyDescent="0.3">
      <c r="A53" s="10">
        <v>45799</v>
      </c>
      <c r="B53" s="26">
        <v>2</v>
      </c>
      <c r="C53" s="26">
        <v>0</v>
      </c>
      <c r="D53" s="26">
        <v>0.04</v>
      </c>
      <c r="E53" s="26">
        <v>0.87</v>
      </c>
      <c r="F53" s="26">
        <v>0</v>
      </c>
      <c r="G53" s="26">
        <v>0.62</v>
      </c>
      <c r="H53" s="26">
        <v>0.47</v>
      </c>
      <c r="I53" s="26">
        <v>0</v>
      </c>
      <c r="J53" s="26">
        <v>0</v>
      </c>
      <c r="K53" s="26">
        <v>0</v>
      </c>
      <c r="L53" s="1">
        <f>VLOOKUP(Table2[[#This Row],[Date]],SW_LU[],3,TRUE)</f>
        <v>54</v>
      </c>
      <c r="M53" s="13"/>
      <c r="N53" s="13"/>
      <c r="O53" s="13"/>
      <c r="P53" s="13"/>
      <c r="Q53" s="13"/>
      <c r="R53" s="13"/>
    </row>
    <row r="54" spans="1:18" x14ac:dyDescent="0.3">
      <c r="A54" s="10">
        <v>45800</v>
      </c>
      <c r="B54" s="26">
        <v>16</v>
      </c>
      <c r="C54" s="26">
        <v>0</v>
      </c>
      <c r="D54" s="26">
        <v>0.28999999999999998</v>
      </c>
      <c r="E54" s="26">
        <v>6.98</v>
      </c>
      <c r="F54" s="26">
        <v>0</v>
      </c>
      <c r="G54" s="26">
        <v>4.95</v>
      </c>
      <c r="H54" s="26">
        <v>3.78</v>
      </c>
      <c r="I54" s="26">
        <v>0</v>
      </c>
      <c r="J54" s="26">
        <v>0</v>
      </c>
      <c r="K54" s="26">
        <v>0</v>
      </c>
      <c r="L54" s="1">
        <f>VLOOKUP(Table2[[#This Row],[Date]],SW_LU[],3,TRUE)</f>
        <v>54</v>
      </c>
      <c r="M54" s="13"/>
      <c r="N54" s="13"/>
      <c r="O54" s="13"/>
      <c r="P54" s="13"/>
      <c r="Q54" s="13"/>
      <c r="R54" s="13"/>
    </row>
    <row r="55" spans="1:18" x14ac:dyDescent="0.3">
      <c r="A55" s="10">
        <v>45801</v>
      </c>
      <c r="B55" s="26">
        <v>17</v>
      </c>
      <c r="C55" s="26">
        <v>0</v>
      </c>
      <c r="D55" s="26">
        <v>0.31</v>
      </c>
      <c r="E55" s="26">
        <v>7.42</v>
      </c>
      <c r="F55" s="26">
        <v>0</v>
      </c>
      <c r="G55" s="26">
        <v>5.25</v>
      </c>
      <c r="H55" s="26">
        <v>4.0199999999999996</v>
      </c>
      <c r="I55" s="26">
        <v>0</v>
      </c>
      <c r="J55" s="26">
        <v>0</v>
      </c>
      <c r="K55" s="26">
        <v>0</v>
      </c>
      <c r="L55" s="1">
        <f>VLOOKUP(Table2[[#This Row],[Date]],SW_LU[],3,TRUE)</f>
        <v>54</v>
      </c>
      <c r="M55" s="13"/>
      <c r="N55" s="13"/>
      <c r="O55" s="13"/>
      <c r="P55" s="13"/>
      <c r="Q55" s="13"/>
      <c r="R55" s="13"/>
    </row>
    <row r="56" spans="1:18" x14ac:dyDescent="0.3">
      <c r="A56" s="10">
        <v>45802</v>
      </c>
      <c r="B56" s="26">
        <v>36</v>
      </c>
      <c r="C56" s="26">
        <v>1</v>
      </c>
      <c r="D56" s="26">
        <v>0.67</v>
      </c>
      <c r="E56" s="26">
        <v>16.14</v>
      </c>
      <c r="F56" s="26">
        <v>0</v>
      </c>
      <c r="G56" s="26">
        <v>11.44</v>
      </c>
      <c r="H56" s="26">
        <v>8.75</v>
      </c>
      <c r="I56" s="26">
        <v>0</v>
      </c>
      <c r="J56" s="26">
        <v>0</v>
      </c>
      <c r="K56" s="26">
        <v>0</v>
      </c>
      <c r="L56" s="1">
        <f>VLOOKUP(Table2[[#This Row],[Date]],SW_LU[],3,TRUE)</f>
        <v>54</v>
      </c>
      <c r="M56" s="13"/>
      <c r="N56" s="13"/>
      <c r="O56" s="13"/>
      <c r="P56" s="13"/>
      <c r="Q56" s="13"/>
      <c r="R56" s="13"/>
    </row>
    <row r="57" spans="1:18" x14ac:dyDescent="0.3">
      <c r="A57" s="10">
        <v>45803</v>
      </c>
      <c r="B57" s="26">
        <v>76</v>
      </c>
      <c r="C57" s="26">
        <v>1</v>
      </c>
      <c r="D57" s="26">
        <v>1.4</v>
      </c>
      <c r="E57" s="26">
        <v>33.6</v>
      </c>
      <c r="F57" s="26">
        <v>0</v>
      </c>
      <c r="G57" s="26">
        <v>23.8</v>
      </c>
      <c r="H57" s="26">
        <v>18.2</v>
      </c>
      <c r="I57" s="26">
        <v>0</v>
      </c>
      <c r="J57" s="26">
        <v>0</v>
      </c>
      <c r="K57" s="26">
        <v>0</v>
      </c>
      <c r="L57" s="1">
        <f>VLOOKUP(Table2[[#This Row],[Date]],SW_LU[],3,TRUE)</f>
        <v>54</v>
      </c>
      <c r="M57" s="13"/>
      <c r="N57" s="13"/>
      <c r="O57" s="13"/>
      <c r="P57" s="13"/>
      <c r="Q57" s="13"/>
      <c r="R57" s="13"/>
    </row>
    <row r="58" spans="1:18" x14ac:dyDescent="0.3">
      <c r="A58" s="10">
        <v>45804</v>
      </c>
      <c r="B58" s="26">
        <v>14</v>
      </c>
      <c r="C58" s="26">
        <v>0</v>
      </c>
      <c r="D58" s="26">
        <v>0.25</v>
      </c>
      <c r="E58" s="26">
        <v>6.11</v>
      </c>
      <c r="F58" s="26">
        <v>0</v>
      </c>
      <c r="G58" s="26">
        <v>4.33</v>
      </c>
      <c r="H58" s="26">
        <v>3.31</v>
      </c>
      <c r="I58" s="26">
        <v>0</v>
      </c>
      <c r="J58" s="26">
        <v>0</v>
      </c>
      <c r="K58" s="26">
        <v>0</v>
      </c>
      <c r="L58" s="1">
        <f>VLOOKUP(Table2[[#This Row],[Date]],SW_LU[],3,TRUE)</f>
        <v>54</v>
      </c>
      <c r="M58" s="13"/>
      <c r="N58" s="13"/>
      <c r="O58" s="13"/>
      <c r="P58" s="13"/>
      <c r="Q58" s="13"/>
      <c r="R58" s="13"/>
    </row>
    <row r="59" spans="1:18" x14ac:dyDescent="0.3">
      <c r="A59" s="10">
        <v>45805</v>
      </c>
      <c r="B59" s="26">
        <v>2</v>
      </c>
      <c r="C59" s="26">
        <v>0</v>
      </c>
      <c r="D59" s="26">
        <v>0.04</v>
      </c>
      <c r="E59" s="26">
        <v>0.87</v>
      </c>
      <c r="F59" s="26">
        <v>0</v>
      </c>
      <c r="G59" s="26">
        <v>0.62</v>
      </c>
      <c r="H59" s="26">
        <v>0.47</v>
      </c>
      <c r="I59" s="26">
        <v>0</v>
      </c>
      <c r="J59" s="26">
        <v>0</v>
      </c>
      <c r="K59" s="26">
        <v>0</v>
      </c>
      <c r="L59" s="1">
        <f>VLOOKUP(Table2[[#This Row],[Date]],SW_LU[],3,TRUE)</f>
        <v>54</v>
      </c>
      <c r="M59" s="13"/>
      <c r="N59" s="13"/>
      <c r="O59" s="13"/>
      <c r="P59" s="13"/>
      <c r="Q59" s="13"/>
      <c r="R59" s="13"/>
    </row>
    <row r="60" spans="1:18" x14ac:dyDescent="0.3">
      <c r="A60" s="10">
        <v>45806</v>
      </c>
      <c r="B60" s="26">
        <v>184</v>
      </c>
      <c r="C60" s="26">
        <v>3</v>
      </c>
      <c r="D60" s="26">
        <v>3.4</v>
      </c>
      <c r="E60" s="26">
        <v>81.59</v>
      </c>
      <c r="F60" s="26">
        <v>0</v>
      </c>
      <c r="G60" s="26">
        <v>57.8</v>
      </c>
      <c r="H60" s="26">
        <v>44.21</v>
      </c>
      <c r="I60" s="26">
        <v>0</v>
      </c>
      <c r="J60" s="26">
        <v>0</v>
      </c>
      <c r="K60" s="26">
        <v>0</v>
      </c>
      <c r="L60" s="1">
        <f>VLOOKUP(Table2[[#This Row],[Date]],SW_LU[],3,TRUE)</f>
        <v>61</v>
      </c>
      <c r="M60" s="13"/>
      <c r="N60" s="13"/>
      <c r="O60" s="13"/>
      <c r="P60" s="13"/>
      <c r="Q60" s="13"/>
      <c r="R60" s="13"/>
    </row>
    <row r="61" spans="1:18" x14ac:dyDescent="0.3">
      <c r="A61" s="10">
        <v>45807</v>
      </c>
      <c r="B61" s="26">
        <v>56</v>
      </c>
      <c r="C61" s="26">
        <v>1</v>
      </c>
      <c r="D61" s="26">
        <v>1.04</v>
      </c>
      <c r="E61" s="26">
        <v>24.87</v>
      </c>
      <c r="F61" s="26">
        <v>0</v>
      </c>
      <c r="G61" s="26">
        <v>17.62</v>
      </c>
      <c r="H61" s="26">
        <v>13.47</v>
      </c>
      <c r="I61" s="26">
        <v>0</v>
      </c>
      <c r="J61" s="26">
        <v>0</v>
      </c>
      <c r="K61" s="26">
        <v>0</v>
      </c>
      <c r="L61" s="1">
        <f>VLOOKUP(Table2[[#This Row],[Date]],SW_LU[],3,TRUE)</f>
        <v>61</v>
      </c>
      <c r="M61" s="13"/>
      <c r="N61" s="13"/>
      <c r="O61" s="13"/>
      <c r="P61" s="13"/>
      <c r="Q61" s="13"/>
      <c r="R61" s="13"/>
    </row>
    <row r="62" spans="1:18" x14ac:dyDescent="0.3">
      <c r="A62" s="10">
        <v>45808</v>
      </c>
      <c r="B62" s="26">
        <v>116</v>
      </c>
      <c r="C62" s="26">
        <v>2</v>
      </c>
      <c r="D62" s="26">
        <v>2.15</v>
      </c>
      <c r="E62" s="26">
        <v>51.48</v>
      </c>
      <c r="F62" s="26">
        <v>0</v>
      </c>
      <c r="G62" s="26">
        <v>36.47</v>
      </c>
      <c r="H62" s="26">
        <v>27.9</v>
      </c>
      <c r="I62" s="26">
        <v>0</v>
      </c>
      <c r="J62" s="26">
        <v>0</v>
      </c>
      <c r="K62" s="26">
        <v>0</v>
      </c>
      <c r="L62" s="1">
        <f>VLOOKUP(Table2[[#This Row],[Date]],SW_LU[],3,TRUE)</f>
        <v>61</v>
      </c>
      <c r="M62" s="13"/>
      <c r="N62" s="13"/>
      <c r="O62" s="13"/>
      <c r="P62" s="13"/>
      <c r="Q62" s="13"/>
      <c r="R62" s="13"/>
    </row>
    <row r="63" spans="1:18" x14ac:dyDescent="0.3">
      <c r="A63" s="10">
        <v>45809</v>
      </c>
      <c r="B63" s="26">
        <v>103</v>
      </c>
      <c r="C63" s="26">
        <v>2</v>
      </c>
      <c r="D63" s="26">
        <v>1.91</v>
      </c>
      <c r="E63" s="26">
        <v>45.81</v>
      </c>
      <c r="F63" s="26">
        <v>0</v>
      </c>
      <c r="G63" s="26">
        <v>32.46</v>
      </c>
      <c r="H63" s="26">
        <v>24.82</v>
      </c>
      <c r="I63" s="26">
        <v>0</v>
      </c>
      <c r="J63" s="26">
        <v>0</v>
      </c>
      <c r="K63" s="26">
        <v>0</v>
      </c>
      <c r="L63" s="1">
        <f>VLOOKUP(Table2[[#This Row],[Date]],SW_LU[],3,TRUE)</f>
        <v>61</v>
      </c>
      <c r="M63" s="13"/>
      <c r="N63" s="13"/>
      <c r="O63" s="13"/>
      <c r="P63" s="13"/>
      <c r="Q63" s="13"/>
      <c r="R63" s="13"/>
    </row>
    <row r="64" spans="1:18" x14ac:dyDescent="0.3">
      <c r="A64" s="10">
        <v>45810</v>
      </c>
      <c r="B64" s="26">
        <v>384</v>
      </c>
      <c r="C64" s="26">
        <v>7</v>
      </c>
      <c r="D64" s="26">
        <v>7.12</v>
      </c>
      <c r="E64" s="26">
        <v>170.59</v>
      </c>
      <c r="F64" s="26">
        <v>0</v>
      </c>
      <c r="G64" s="26">
        <v>120.86</v>
      </c>
      <c r="H64" s="26">
        <v>92.43</v>
      </c>
      <c r="I64" s="26">
        <v>0</v>
      </c>
      <c r="J64" s="26">
        <v>0</v>
      </c>
      <c r="K64" s="26">
        <v>0</v>
      </c>
      <c r="L64" s="1">
        <f>VLOOKUP(Table2[[#This Row],[Date]],SW_LU[],3,TRUE)</f>
        <v>61</v>
      </c>
      <c r="M64" s="13"/>
      <c r="N64" s="13"/>
      <c r="O64" s="13"/>
      <c r="P64" s="13"/>
      <c r="Q64" s="13"/>
      <c r="R64" s="13"/>
    </row>
    <row r="65" spans="1:19" x14ac:dyDescent="0.3">
      <c r="A65" s="10">
        <v>45811</v>
      </c>
      <c r="B65" s="26">
        <v>174</v>
      </c>
      <c r="C65" s="26">
        <v>3</v>
      </c>
      <c r="D65" s="26">
        <v>3.22</v>
      </c>
      <c r="E65" s="26">
        <v>77.23</v>
      </c>
      <c r="F65" s="26">
        <v>0</v>
      </c>
      <c r="G65" s="26">
        <v>54.71</v>
      </c>
      <c r="H65" s="26">
        <v>41.84</v>
      </c>
      <c r="I65" s="26">
        <v>0</v>
      </c>
      <c r="J65" s="26">
        <v>0</v>
      </c>
      <c r="K65" s="26">
        <v>0</v>
      </c>
      <c r="L65" s="1">
        <f>VLOOKUP(Table2[[#This Row],[Date]],SW_LU[],3,TRUE)</f>
        <v>61</v>
      </c>
      <c r="M65" s="13"/>
      <c r="N65" s="13"/>
      <c r="O65" s="13"/>
      <c r="P65" s="13"/>
      <c r="Q65" s="13"/>
      <c r="R65" s="13"/>
    </row>
    <row r="66" spans="1:19" x14ac:dyDescent="0.3">
      <c r="A66" s="10">
        <v>45812</v>
      </c>
      <c r="B66" s="26">
        <v>445</v>
      </c>
      <c r="C66" s="26">
        <v>8</v>
      </c>
      <c r="D66" s="26">
        <v>8.24</v>
      </c>
      <c r="E66" s="26">
        <v>197.64</v>
      </c>
      <c r="F66" s="26">
        <v>0</v>
      </c>
      <c r="G66" s="26">
        <v>140.02000000000001</v>
      </c>
      <c r="H66" s="26">
        <v>107.09</v>
      </c>
      <c r="I66" s="26">
        <v>0</v>
      </c>
      <c r="J66" s="26">
        <v>0</v>
      </c>
      <c r="K66" s="26">
        <v>0</v>
      </c>
      <c r="L66" s="1">
        <f>VLOOKUP(Table2[[#This Row],[Date]],SW_LU[],3,TRUE)</f>
        <v>61</v>
      </c>
      <c r="M66" s="13"/>
      <c r="N66" s="13"/>
      <c r="O66" s="13"/>
      <c r="P66" s="13"/>
      <c r="Q66" s="13"/>
      <c r="R66" s="13"/>
    </row>
    <row r="67" spans="1:19" x14ac:dyDescent="0.3">
      <c r="A67" s="10">
        <v>45813</v>
      </c>
      <c r="B67" s="26">
        <v>92</v>
      </c>
      <c r="C67" s="26">
        <v>2</v>
      </c>
      <c r="D67" s="26">
        <v>1.71</v>
      </c>
      <c r="E67" s="26">
        <v>41.01</v>
      </c>
      <c r="F67" s="26">
        <v>0</v>
      </c>
      <c r="G67" s="26">
        <v>29.06</v>
      </c>
      <c r="H67" s="26">
        <v>22.22</v>
      </c>
      <c r="I67" s="26">
        <v>0</v>
      </c>
      <c r="J67" s="26">
        <v>0</v>
      </c>
      <c r="K67" s="26">
        <v>0</v>
      </c>
      <c r="L67" s="1">
        <f>VLOOKUP(Table2[[#This Row],[Date]],SW_LU[],3,TRUE)</f>
        <v>62</v>
      </c>
      <c r="M67" s="13"/>
      <c r="N67" s="13"/>
      <c r="O67" s="13"/>
      <c r="P67" s="13"/>
      <c r="Q67" s="13"/>
      <c r="R67" s="13"/>
    </row>
    <row r="68" spans="1:19" x14ac:dyDescent="0.3">
      <c r="A68" s="10">
        <v>45814</v>
      </c>
      <c r="B68" s="26">
        <v>110</v>
      </c>
      <c r="C68" s="26">
        <v>2</v>
      </c>
      <c r="D68" s="26">
        <v>2.04</v>
      </c>
      <c r="E68" s="26">
        <v>48.87</v>
      </c>
      <c r="F68" s="26">
        <v>0</v>
      </c>
      <c r="G68" s="26">
        <v>34.619999999999997</v>
      </c>
      <c r="H68" s="26">
        <v>26.48</v>
      </c>
      <c r="I68" s="26">
        <v>0</v>
      </c>
      <c r="J68" s="26">
        <v>0</v>
      </c>
      <c r="K68" s="26">
        <v>0</v>
      </c>
      <c r="L68" s="1">
        <f>VLOOKUP(Table2[[#This Row],[Date]],SW_LU[],3,TRUE)</f>
        <v>62</v>
      </c>
      <c r="M68" s="13"/>
      <c r="N68" s="13"/>
      <c r="O68" s="13"/>
      <c r="P68" s="13"/>
      <c r="Q68" s="13"/>
      <c r="R68" s="13"/>
    </row>
    <row r="69" spans="1:19" x14ac:dyDescent="0.3">
      <c r="A69" s="10">
        <v>45815</v>
      </c>
      <c r="B69" s="26">
        <v>679</v>
      </c>
      <c r="C69" s="26">
        <v>13</v>
      </c>
      <c r="D69" s="26">
        <v>12.59</v>
      </c>
      <c r="E69" s="26">
        <v>301.92</v>
      </c>
      <c r="F69" s="26">
        <v>0</v>
      </c>
      <c r="G69" s="26">
        <v>213.9</v>
      </c>
      <c r="H69" s="26">
        <v>163.59</v>
      </c>
      <c r="I69" s="26">
        <v>0</v>
      </c>
      <c r="J69" s="26">
        <v>0</v>
      </c>
      <c r="K69" s="26">
        <v>0</v>
      </c>
      <c r="L69" s="1">
        <f>VLOOKUP(Table2[[#This Row],[Date]],SW_LU[],3,TRUE)</f>
        <v>62</v>
      </c>
      <c r="M69" s="13"/>
      <c r="N69" s="13"/>
      <c r="O69" s="13"/>
      <c r="P69" s="13"/>
      <c r="Q69" s="13"/>
      <c r="R69" s="13"/>
    </row>
    <row r="70" spans="1:19" x14ac:dyDescent="0.3">
      <c r="A70" s="10">
        <v>45816</v>
      </c>
      <c r="B70" s="26">
        <v>473</v>
      </c>
      <c r="C70" s="26">
        <v>9</v>
      </c>
      <c r="D70" s="26">
        <v>8.77</v>
      </c>
      <c r="E70" s="26">
        <v>210.3</v>
      </c>
      <c r="F70" s="26">
        <v>0</v>
      </c>
      <c r="G70" s="26">
        <v>148.99</v>
      </c>
      <c r="H70" s="26">
        <v>113.94</v>
      </c>
      <c r="I70" s="26">
        <v>0</v>
      </c>
      <c r="J70" s="26">
        <v>0</v>
      </c>
      <c r="K70" s="26">
        <v>0</v>
      </c>
      <c r="L70" s="1">
        <f>VLOOKUP(Table2[[#This Row],[Date]],SW_LU[],3,TRUE)</f>
        <v>62</v>
      </c>
      <c r="M70" s="13"/>
      <c r="N70" s="13"/>
      <c r="O70" s="13"/>
      <c r="P70" s="13"/>
      <c r="Q70" s="13"/>
      <c r="R70" s="13"/>
    </row>
    <row r="71" spans="1:19" x14ac:dyDescent="0.3">
      <c r="A71" s="10">
        <v>45817</v>
      </c>
      <c r="B71" s="26">
        <v>1138</v>
      </c>
      <c r="C71" s="26">
        <v>21</v>
      </c>
      <c r="D71" s="26">
        <v>21.09</v>
      </c>
      <c r="E71" s="26">
        <v>505.67</v>
      </c>
      <c r="F71" s="26">
        <v>0</v>
      </c>
      <c r="G71" s="26">
        <v>358.25</v>
      </c>
      <c r="H71" s="26">
        <v>273.99</v>
      </c>
      <c r="I71" s="26">
        <v>0</v>
      </c>
      <c r="J71" s="26">
        <v>0</v>
      </c>
      <c r="K71" s="26">
        <v>0</v>
      </c>
      <c r="L71" s="1">
        <f>VLOOKUP(Table2[[#This Row],[Date]],SW_LU[],3,TRUE)</f>
        <v>62</v>
      </c>
      <c r="M71" s="13"/>
      <c r="N71" s="13"/>
      <c r="O71" s="13"/>
      <c r="P71" s="13"/>
      <c r="Q71" s="13"/>
      <c r="R71" s="13"/>
      <c r="S71" s="1"/>
    </row>
    <row r="72" spans="1:19" x14ac:dyDescent="0.3">
      <c r="A72" s="10">
        <v>45818</v>
      </c>
      <c r="B72" s="26">
        <v>212</v>
      </c>
      <c r="C72" s="26">
        <v>4</v>
      </c>
      <c r="D72" s="26">
        <v>3.93</v>
      </c>
      <c r="E72" s="26">
        <v>94.24</v>
      </c>
      <c r="F72" s="26">
        <v>0</v>
      </c>
      <c r="G72" s="26">
        <v>66.77</v>
      </c>
      <c r="H72" s="26">
        <v>51.06</v>
      </c>
      <c r="I72" s="26">
        <v>0</v>
      </c>
      <c r="J72" s="26">
        <v>0</v>
      </c>
      <c r="K72" s="26">
        <v>0</v>
      </c>
      <c r="L72" s="1">
        <f>VLOOKUP(Table2[[#This Row],[Date]],SW_LU[],3,TRUE)</f>
        <v>62</v>
      </c>
      <c r="M72" s="13"/>
      <c r="N72" s="13"/>
      <c r="O72" s="13"/>
      <c r="P72" s="13"/>
      <c r="Q72" s="13"/>
      <c r="R72" s="13"/>
    </row>
    <row r="73" spans="1:19" x14ac:dyDescent="0.3">
      <c r="A73" s="10">
        <v>45819</v>
      </c>
      <c r="B73" s="26">
        <v>167</v>
      </c>
      <c r="C73" s="26">
        <v>3</v>
      </c>
      <c r="D73" s="26">
        <v>3.09</v>
      </c>
      <c r="E73" s="26">
        <v>74.17</v>
      </c>
      <c r="F73" s="26">
        <v>0</v>
      </c>
      <c r="G73" s="26">
        <v>52.55</v>
      </c>
      <c r="H73" s="26">
        <v>40.19</v>
      </c>
      <c r="I73" s="26">
        <v>0</v>
      </c>
      <c r="J73" s="26">
        <v>0</v>
      </c>
      <c r="K73" s="26">
        <v>0</v>
      </c>
      <c r="L73" s="1">
        <f>VLOOKUP(Table2[[#This Row],[Date]],SW_LU[],3,TRUE)</f>
        <v>62</v>
      </c>
      <c r="M73" s="13"/>
      <c r="N73" s="13"/>
      <c r="O73" s="13"/>
      <c r="P73" s="13"/>
      <c r="Q73" s="13"/>
      <c r="R73" s="13"/>
    </row>
    <row r="74" spans="1:19" x14ac:dyDescent="0.3">
      <c r="A74" s="10">
        <v>45820</v>
      </c>
      <c r="B74" s="26">
        <v>622</v>
      </c>
      <c r="C74" s="26">
        <v>12</v>
      </c>
      <c r="D74" s="26">
        <v>11.52</v>
      </c>
      <c r="E74" s="26">
        <v>277.18</v>
      </c>
      <c r="F74" s="26">
        <v>0</v>
      </c>
      <c r="G74" s="26">
        <v>195.66</v>
      </c>
      <c r="H74" s="26">
        <v>149.63999999999999</v>
      </c>
      <c r="I74" s="26">
        <v>0</v>
      </c>
      <c r="J74" s="26">
        <v>0</v>
      </c>
      <c r="K74" s="26">
        <v>0</v>
      </c>
      <c r="L74" s="1">
        <f>VLOOKUP(Table2[[#This Row],[Date]],SW_LU[],3,TRUE)</f>
        <v>63</v>
      </c>
      <c r="M74" s="13"/>
      <c r="N74" s="13"/>
      <c r="O74" s="13"/>
      <c r="P74" s="13"/>
      <c r="Q74" s="13"/>
      <c r="R74" s="13"/>
    </row>
    <row r="75" spans="1:19" x14ac:dyDescent="0.3">
      <c r="A75" s="10">
        <v>45821</v>
      </c>
      <c r="B75" s="26">
        <v>1506</v>
      </c>
      <c r="C75" s="26">
        <v>28</v>
      </c>
      <c r="D75" s="26">
        <v>27.92</v>
      </c>
      <c r="E75" s="26">
        <v>669.28</v>
      </c>
      <c r="F75" s="26">
        <v>0</v>
      </c>
      <c r="G75" s="26">
        <v>474.16</v>
      </c>
      <c r="H75" s="26">
        <v>362.64</v>
      </c>
      <c r="I75" s="26">
        <v>0</v>
      </c>
      <c r="J75" s="26">
        <v>0</v>
      </c>
      <c r="K75" s="26">
        <v>0</v>
      </c>
      <c r="L75" s="1">
        <f>VLOOKUP(Table2[[#This Row],[Date]],SW_LU[],3,TRUE)</f>
        <v>63</v>
      </c>
      <c r="M75" s="13"/>
      <c r="N75" s="13"/>
      <c r="O75" s="13"/>
      <c r="P75" s="13"/>
      <c r="Q75" s="13"/>
      <c r="R75" s="13"/>
      <c r="S75" s="1"/>
    </row>
    <row r="76" spans="1:19" x14ac:dyDescent="0.3">
      <c r="A76" s="10">
        <v>45822</v>
      </c>
      <c r="B76" s="26">
        <v>1032</v>
      </c>
      <c r="C76" s="26">
        <v>19</v>
      </c>
      <c r="D76" s="26">
        <v>19.13</v>
      </c>
      <c r="E76" s="26">
        <v>458.55</v>
      </c>
      <c r="F76" s="26">
        <v>0</v>
      </c>
      <c r="G76" s="26">
        <v>324.86</v>
      </c>
      <c r="H76" s="26">
        <v>248.46</v>
      </c>
      <c r="I76" s="26">
        <v>0</v>
      </c>
      <c r="J76" s="26">
        <v>0</v>
      </c>
      <c r="K76" s="26">
        <v>0</v>
      </c>
      <c r="L76" s="1">
        <f>VLOOKUP(Table2[[#This Row],[Date]],SW_LU[],3,TRUE)</f>
        <v>63</v>
      </c>
      <c r="M76" s="13"/>
      <c r="N76" s="13"/>
      <c r="O76" s="13"/>
      <c r="P76" s="13"/>
      <c r="Q76" s="13"/>
      <c r="R76" s="13"/>
    </row>
    <row r="77" spans="1:19" x14ac:dyDescent="0.3">
      <c r="A77" s="10">
        <v>45823</v>
      </c>
      <c r="B77" s="26">
        <v>1759</v>
      </c>
      <c r="C77" s="26">
        <v>56</v>
      </c>
      <c r="D77" s="26">
        <v>55.72</v>
      </c>
      <c r="E77" s="26">
        <v>872.29</v>
      </c>
      <c r="F77" s="26">
        <v>0</v>
      </c>
      <c r="G77" s="26">
        <v>503.3</v>
      </c>
      <c r="H77" s="26">
        <v>383.69</v>
      </c>
      <c r="I77" s="26">
        <v>0</v>
      </c>
      <c r="J77" s="26">
        <v>0</v>
      </c>
      <c r="K77" s="26">
        <v>0</v>
      </c>
      <c r="L77" s="1">
        <f>VLOOKUP(Table2[[#This Row],[Date]],SW_LU[],3,TRUE)</f>
        <v>63</v>
      </c>
      <c r="M77" s="13"/>
      <c r="N77" s="13"/>
      <c r="O77" s="13"/>
      <c r="P77" s="13"/>
      <c r="Q77" s="13"/>
      <c r="R77" s="13"/>
    </row>
    <row r="78" spans="1:19" x14ac:dyDescent="0.3">
      <c r="A78" s="10">
        <v>45824</v>
      </c>
      <c r="B78" s="26">
        <v>4457</v>
      </c>
      <c r="C78" s="26">
        <v>201</v>
      </c>
      <c r="D78" s="26">
        <v>201.23</v>
      </c>
      <c r="E78" s="26">
        <v>2444.98</v>
      </c>
      <c r="F78" s="26">
        <v>0</v>
      </c>
      <c r="G78" s="26">
        <v>1143.54</v>
      </c>
      <c r="H78" s="26">
        <v>868.25</v>
      </c>
      <c r="I78" s="26">
        <v>0</v>
      </c>
      <c r="J78" s="26">
        <v>0</v>
      </c>
      <c r="K78" s="26">
        <v>0</v>
      </c>
      <c r="L78" s="1">
        <f>VLOOKUP(Table2[[#This Row],[Date]],SW_LU[],3,TRUE)</f>
        <v>63</v>
      </c>
      <c r="M78" s="13"/>
      <c r="N78" s="13"/>
      <c r="O78" s="13"/>
      <c r="P78" s="13"/>
      <c r="Q78" s="13"/>
      <c r="R78" s="13"/>
      <c r="S78" s="1"/>
    </row>
    <row r="79" spans="1:19" x14ac:dyDescent="0.3">
      <c r="A79" s="10">
        <v>45825</v>
      </c>
      <c r="B79" s="26">
        <v>9977</v>
      </c>
      <c r="C79" s="26">
        <v>588</v>
      </c>
      <c r="D79" s="26">
        <v>588.47</v>
      </c>
      <c r="E79" s="26">
        <v>6014.65</v>
      </c>
      <c r="F79" s="26">
        <v>0</v>
      </c>
      <c r="G79" s="26">
        <v>2256.6799999999998</v>
      </c>
      <c r="H79" s="26">
        <v>1705.19</v>
      </c>
      <c r="I79" s="26">
        <v>0</v>
      </c>
      <c r="J79" s="26">
        <v>0</v>
      </c>
      <c r="K79" s="26">
        <v>0</v>
      </c>
      <c r="L79" s="1">
        <f>VLOOKUP(Table2[[#This Row],[Date]],SW_LU[],3,TRUE)</f>
        <v>63</v>
      </c>
      <c r="M79" s="13"/>
      <c r="N79" s="13"/>
      <c r="O79" s="13"/>
      <c r="P79" s="13"/>
      <c r="Q79" s="13"/>
      <c r="R79" s="13"/>
    </row>
    <row r="80" spans="1:19" x14ac:dyDescent="0.3">
      <c r="A80" s="10">
        <v>45826</v>
      </c>
      <c r="B80" s="26">
        <v>6553</v>
      </c>
      <c r="C80" s="26">
        <v>480</v>
      </c>
      <c r="D80" s="26">
        <v>479.65</v>
      </c>
      <c r="E80" s="26">
        <v>4315.45</v>
      </c>
      <c r="F80" s="26">
        <v>0</v>
      </c>
      <c r="G80" s="26">
        <v>1278.5999999999999</v>
      </c>
      <c r="H80" s="26">
        <v>959.3</v>
      </c>
      <c r="I80" s="26">
        <v>0</v>
      </c>
      <c r="J80" s="26">
        <v>0</v>
      </c>
      <c r="K80" s="26">
        <v>0</v>
      </c>
      <c r="L80" s="1">
        <f>VLOOKUP(Table2[[#This Row],[Date]],SW_LU[],3,TRUE)</f>
        <v>63</v>
      </c>
      <c r="M80" s="13"/>
      <c r="N80" s="13"/>
      <c r="O80" s="13"/>
      <c r="P80" s="13"/>
      <c r="Q80" s="13"/>
      <c r="R80" s="13"/>
    </row>
    <row r="81" spans="1:20" x14ac:dyDescent="0.3">
      <c r="A81" s="10">
        <v>45827</v>
      </c>
      <c r="B81" s="26">
        <v>7790</v>
      </c>
      <c r="C81" s="26">
        <v>585</v>
      </c>
      <c r="D81" s="26">
        <v>584.58000000000004</v>
      </c>
      <c r="E81" s="26">
        <v>4264.55</v>
      </c>
      <c r="F81" s="26">
        <v>0</v>
      </c>
      <c r="G81" s="26">
        <v>2356.73</v>
      </c>
      <c r="H81" s="26">
        <v>1169.1500000000001</v>
      </c>
      <c r="I81" s="26">
        <v>0</v>
      </c>
      <c r="J81" s="26">
        <v>0</v>
      </c>
      <c r="K81" s="26">
        <v>0</v>
      </c>
      <c r="L81" s="1">
        <f>VLOOKUP(Table2[[#This Row],[Date]],SW_LU[],3,TRUE)</f>
        <v>64</v>
      </c>
      <c r="M81" s="13"/>
      <c r="N81" s="13"/>
      <c r="O81" s="13"/>
      <c r="P81" s="13"/>
      <c r="Q81" s="13"/>
      <c r="R81" s="13"/>
    </row>
    <row r="82" spans="1:20" x14ac:dyDescent="0.3">
      <c r="A82" s="10">
        <v>45828</v>
      </c>
      <c r="B82" s="26">
        <v>12524</v>
      </c>
      <c r="C82" s="26">
        <v>963</v>
      </c>
      <c r="D82" s="26">
        <v>962.83</v>
      </c>
      <c r="E82" s="26">
        <v>5459.38</v>
      </c>
      <c r="F82" s="26">
        <v>0</v>
      </c>
      <c r="G82" s="26">
        <v>5137.79</v>
      </c>
      <c r="H82" s="26">
        <v>1927.01</v>
      </c>
      <c r="I82" s="26">
        <v>0</v>
      </c>
      <c r="J82" s="26">
        <v>0</v>
      </c>
      <c r="K82" s="26">
        <v>0</v>
      </c>
      <c r="L82" s="1">
        <f>VLOOKUP(Table2[[#This Row],[Date]],SW_LU[],3,TRUE)</f>
        <v>64</v>
      </c>
      <c r="M82" s="13"/>
      <c r="N82" s="13"/>
      <c r="O82" s="13"/>
      <c r="P82" s="13"/>
      <c r="Q82" s="13"/>
      <c r="R82" s="13"/>
    </row>
    <row r="83" spans="1:20" x14ac:dyDescent="0.3">
      <c r="A83" s="10">
        <v>45829</v>
      </c>
      <c r="B83" s="26">
        <v>14854</v>
      </c>
      <c r="C83" s="26">
        <v>1021</v>
      </c>
      <c r="D83" s="26">
        <v>1020.76</v>
      </c>
      <c r="E83" s="26">
        <v>7458.08</v>
      </c>
      <c r="F83" s="26">
        <v>0</v>
      </c>
      <c r="G83" s="26">
        <v>4826</v>
      </c>
      <c r="H83" s="26">
        <v>2570.16</v>
      </c>
      <c r="I83" s="26">
        <v>0</v>
      </c>
      <c r="J83" s="26">
        <v>0</v>
      </c>
      <c r="K83" s="26">
        <v>0</v>
      </c>
      <c r="L83" s="1">
        <f>VLOOKUP(Table2[[#This Row],[Date]],SW_LU[],3,TRUE)</f>
        <v>64</v>
      </c>
      <c r="M83" s="13"/>
      <c r="N83" s="13"/>
      <c r="O83" s="13"/>
      <c r="P83" s="13"/>
      <c r="Q83" s="13"/>
      <c r="R83" s="13"/>
    </row>
    <row r="84" spans="1:20" x14ac:dyDescent="0.3">
      <c r="A84" s="10">
        <v>45830</v>
      </c>
      <c r="B84" s="26">
        <v>16616</v>
      </c>
      <c r="C84" s="26">
        <v>1006</v>
      </c>
      <c r="D84" s="26">
        <v>1006.22</v>
      </c>
      <c r="E84" s="26">
        <v>9426.01</v>
      </c>
      <c r="F84" s="26">
        <v>0</v>
      </c>
      <c r="G84" s="26">
        <v>4000.19</v>
      </c>
      <c r="H84" s="26">
        <v>3189.58</v>
      </c>
      <c r="I84" s="26">
        <v>0</v>
      </c>
      <c r="J84" s="26">
        <v>0</v>
      </c>
      <c r="K84" s="26">
        <v>0</v>
      </c>
      <c r="L84" s="1">
        <f>VLOOKUP(Table2[[#This Row],[Date]],SW_LU[],3,TRUE)</f>
        <v>64</v>
      </c>
      <c r="M84" s="13"/>
      <c r="N84" s="13"/>
      <c r="O84" s="13"/>
      <c r="P84" s="13"/>
      <c r="Q84" s="13"/>
      <c r="R84" s="13"/>
    </row>
    <row r="85" spans="1:20" x14ac:dyDescent="0.3">
      <c r="A85" s="10">
        <v>45831</v>
      </c>
      <c r="B85" s="26">
        <v>11630</v>
      </c>
      <c r="C85" s="26">
        <v>612</v>
      </c>
      <c r="D85" s="26">
        <v>612.1</v>
      </c>
      <c r="E85" s="26">
        <v>7345.2</v>
      </c>
      <c r="F85" s="26">
        <v>0</v>
      </c>
      <c r="G85" s="26">
        <v>1836.3</v>
      </c>
      <c r="H85" s="26">
        <v>2448.4</v>
      </c>
      <c r="I85" s="26">
        <v>0</v>
      </c>
      <c r="J85" s="26">
        <v>0</v>
      </c>
      <c r="K85" s="26">
        <v>0</v>
      </c>
      <c r="L85" s="1">
        <f>VLOOKUP(Table2[[#This Row],[Date]],SW_LU[],3,TRUE)</f>
        <v>64</v>
      </c>
      <c r="M85" s="13"/>
      <c r="N85" s="13"/>
      <c r="O85" s="13"/>
      <c r="P85" s="13"/>
      <c r="Q85" s="13"/>
      <c r="R85" s="13"/>
      <c r="S85" s="1"/>
      <c r="T85" s="1"/>
    </row>
    <row r="86" spans="1:20" x14ac:dyDescent="0.3">
      <c r="A86" s="10">
        <v>45832</v>
      </c>
      <c r="B86" s="26">
        <v>12840</v>
      </c>
      <c r="C86" s="26">
        <v>1982</v>
      </c>
      <c r="D86" s="26">
        <v>1660.06</v>
      </c>
      <c r="E86" s="26">
        <v>7990.54</v>
      </c>
      <c r="F86" s="26">
        <v>321.64</v>
      </c>
      <c r="G86" s="26">
        <v>1594.85</v>
      </c>
      <c r="H86" s="26">
        <v>3093.35</v>
      </c>
      <c r="I86" s="26">
        <v>0</v>
      </c>
      <c r="J86" s="26">
        <v>161.56</v>
      </c>
      <c r="K86" s="26">
        <v>0</v>
      </c>
      <c r="L86" s="1">
        <f>VLOOKUP(Table2[[#This Row],[Date]],SW_LU[],3,TRUE)</f>
        <v>64</v>
      </c>
      <c r="M86" s="13"/>
      <c r="N86" s="13"/>
      <c r="O86" s="13"/>
      <c r="P86" s="13"/>
      <c r="Q86" s="13"/>
      <c r="R86" s="13"/>
      <c r="S86" s="1"/>
      <c r="T86" s="1"/>
    </row>
    <row r="87" spans="1:20" x14ac:dyDescent="0.3">
      <c r="A87" s="10">
        <v>45833</v>
      </c>
      <c r="B87" s="26">
        <v>7463</v>
      </c>
      <c r="C87" s="26">
        <v>2073</v>
      </c>
      <c r="D87" s="26">
        <v>1658.31</v>
      </c>
      <c r="E87" s="26">
        <v>4561.07</v>
      </c>
      <c r="F87" s="26">
        <v>414.82</v>
      </c>
      <c r="G87" s="26">
        <v>621.75</v>
      </c>
      <c r="H87" s="26">
        <v>2073.13</v>
      </c>
      <c r="I87" s="26">
        <v>0</v>
      </c>
      <c r="J87" s="26">
        <v>206.93</v>
      </c>
      <c r="K87" s="26">
        <v>0</v>
      </c>
      <c r="L87" s="1">
        <f>VLOOKUP(Table2[[#This Row],[Date]],SW_LU[],3,TRUE)</f>
        <v>64</v>
      </c>
      <c r="M87" s="13"/>
      <c r="N87" s="13"/>
      <c r="O87" s="13"/>
      <c r="P87" s="13"/>
      <c r="Q87" s="13"/>
      <c r="R87" s="13"/>
    </row>
    <row r="88" spans="1:20" x14ac:dyDescent="0.3">
      <c r="A88" s="10">
        <v>45834</v>
      </c>
      <c r="B88" s="26">
        <v>7521</v>
      </c>
      <c r="C88" s="26">
        <v>1743</v>
      </c>
      <c r="D88" s="26">
        <v>1436.85</v>
      </c>
      <c r="E88" s="26">
        <v>4742.24</v>
      </c>
      <c r="F88" s="26">
        <v>306.64</v>
      </c>
      <c r="G88" s="26">
        <v>1144.0999999999999</v>
      </c>
      <c r="H88" s="26">
        <v>1533.19</v>
      </c>
      <c r="I88" s="26">
        <v>0</v>
      </c>
      <c r="J88" s="26">
        <v>100.98</v>
      </c>
      <c r="K88" s="26">
        <v>0</v>
      </c>
      <c r="L88" s="1">
        <f>VLOOKUP(Table2[[#This Row],[Date]],SW_LU[],3,TRUE)</f>
        <v>71</v>
      </c>
      <c r="M88" s="13"/>
      <c r="N88" s="13"/>
      <c r="O88" s="13"/>
      <c r="P88" s="13"/>
      <c r="Q88" s="13"/>
      <c r="R88" s="13"/>
    </row>
    <row r="89" spans="1:20" x14ac:dyDescent="0.3">
      <c r="A89" s="10">
        <v>45835</v>
      </c>
      <c r="B89" s="26">
        <v>7027</v>
      </c>
      <c r="C89" s="26">
        <v>1330</v>
      </c>
      <c r="D89" s="26">
        <v>1139.8900000000001</v>
      </c>
      <c r="E89" s="26">
        <v>4558.74</v>
      </c>
      <c r="F89" s="26">
        <v>189.7</v>
      </c>
      <c r="G89" s="26">
        <v>1519.3</v>
      </c>
      <c r="H89" s="26">
        <v>949.36</v>
      </c>
      <c r="I89" s="26">
        <v>0</v>
      </c>
      <c r="J89" s="26">
        <v>0</v>
      </c>
      <c r="K89" s="26">
        <v>0</v>
      </c>
      <c r="L89" s="1">
        <f>VLOOKUP(Table2[[#This Row],[Date]],SW_LU[],3,TRUE)</f>
        <v>71</v>
      </c>
      <c r="M89" s="13"/>
      <c r="N89" s="13"/>
      <c r="O89" s="13"/>
      <c r="P89" s="13"/>
      <c r="Q89" s="13"/>
      <c r="R89" s="13"/>
    </row>
    <row r="90" spans="1:20" x14ac:dyDescent="0.3">
      <c r="A90" s="10">
        <v>45836</v>
      </c>
      <c r="B90" s="26">
        <v>4589</v>
      </c>
      <c r="C90" s="26">
        <v>982</v>
      </c>
      <c r="D90" s="26">
        <v>817.82</v>
      </c>
      <c r="E90" s="26">
        <v>2993.86</v>
      </c>
      <c r="F90" s="26">
        <v>163.79</v>
      </c>
      <c r="G90" s="26">
        <v>923.67</v>
      </c>
      <c r="H90" s="26">
        <v>653.48</v>
      </c>
      <c r="I90" s="26">
        <v>0</v>
      </c>
      <c r="J90" s="26">
        <v>18.38</v>
      </c>
      <c r="K90" s="26">
        <v>0</v>
      </c>
      <c r="L90" s="1">
        <f>VLOOKUP(Table2[[#This Row],[Date]],SW_LU[],3,TRUE)</f>
        <v>71</v>
      </c>
      <c r="M90" s="13"/>
      <c r="N90" s="13"/>
      <c r="O90" s="13"/>
      <c r="P90" s="13"/>
      <c r="Q90" s="13"/>
      <c r="R90" s="13"/>
    </row>
    <row r="91" spans="1:20" x14ac:dyDescent="0.3">
      <c r="A91" s="10">
        <v>45837</v>
      </c>
      <c r="B91" s="26">
        <v>8492</v>
      </c>
      <c r="C91" s="26">
        <v>2037</v>
      </c>
      <c r="D91" s="26">
        <v>1655.32</v>
      </c>
      <c r="E91" s="26">
        <v>5571.48</v>
      </c>
      <c r="F91" s="26">
        <v>381.19</v>
      </c>
      <c r="G91" s="26">
        <v>1577.39</v>
      </c>
      <c r="H91" s="26">
        <v>1274.1300000000001</v>
      </c>
      <c r="I91" s="26">
        <v>0</v>
      </c>
      <c r="J91" s="26">
        <v>69.5</v>
      </c>
      <c r="K91" s="26">
        <v>0</v>
      </c>
      <c r="L91" s="1">
        <f>VLOOKUP(Table2[[#This Row],[Date]],SW_LU[],3,TRUE)</f>
        <v>71</v>
      </c>
      <c r="M91" s="13"/>
      <c r="N91" s="13"/>
      <c r="O91" s="13"/>
      <c r="P91" s="13"/>
      <c r="Q91" s="13"/>
      <c r="R91" s="13"/>
    </row>
    <row r="92" spans="1:20" x14ac:dyDescent="0.3">
      <c r="A92" s="10">
        <v>45838</v>
      </c>
      <c r="B92" s="26">
        <v>9708</v>
      </c>
      <c r="C92" s="26">
        <v>2589</v>
      </c>
      <c r="D92" s="26">
        <v>2060.98</v>
      </c>
      <c r="E92" s="26">
        <v>6406.74</v>
      </c>
      <c r="F92" s="26">
        <v>527.54</v>
      </c>
      <c r="G92" s="26">
        <v>1645.34</v>
      </c>
      <c r="H92" s="26">
        <v>1533.44</v>
      </c>
      <c r="I92" s="26">
        <v>0</v>
      </c>
      <c r="J92" s="26">
        <v>122.97</v>
      </c>
      <c r="K92" s="26">
        <v>0</v>
      </c>
      <c r="L92" s="1">
        <f>VLOOKUP(Table2[[#This Row],[Date]],SW_LU[],3,TRUE)</f>
        <v>71</v>
      </c>
    </row>
    <row r="93" spans="1:20" x14ac:dyDescent="0.3">
      <c r="A93" s="10">
        <v>45839</v>
      </c>
      <c r="B93" s="26">
        <v>8434</v>
      </c>
      <c r="C93" s="26">
        <v>2485</v>
      </c>
      <c r="D93" s="26">
        <v>1943.76</v>
      </c>
      <c r="E93" s="26">
        <v>5599.87</v>
      </c>
      <c r="F93" s="26">
        <v>541.63</v>
      </c>
      <c r="G93" s="26">
        <v>1286.3800000000001</v>
      </c>
      <c r="H93" s="26">
        <v>1402.13</v>
      </c>
      <c r="I93" s="26">
        <v>0</v>
      </c>
      <c r="J93" s="26">
        <v>145.24</v>
      </c>
      <c r="K93" s="26">
        <v>0</v>
      </c>
      <c r="L93" s="1">
        <f>VLOOKUP(Table2[[#This Row],[Date]],SW_LU[],3,TRUE)</f>
        <v>71</v>
      </c>
    </row>
    <row r="94" spans="1:20" x14ac:dyDescent="0.3">
      <c r="A94" s="10">
        <v>45840</v>
      </c>
      <c r="B94" s="26">
        <v>4850</v>
      </c>
      <c r="C94" s="26">
        <v>1572</v>
      </c>
      <c r="D94" s="26">
        <v>1210.55</v>
      </c>
      <c r="E94" s="26">
        <v>3241.18</v>
      </c>
      <c r="F94" s="26">
        <v>361.56</v>
      </c>
      <c r="G94" s="26">
        <v>653.76</v>
      </c>
      <c r="H94" s="26">
        <v>848.35</v>
      </c>
      <c r="I94" s="26">
        <v>0</v>
      </c>
      <c r="J94" s="26">
        <v>106.61</v>
      </c>
      <c r="K94" s="26">
        <v>0</v>
      </c>
      <c r="L94" s="1">
        <f>VLOOKUP(Table2[[#This Row],[Date]],SW_LU[],3,TRUE)</f>
        <v>71</v>
      </c>
    </row>
    <row r="95" spans="1:20" x14ac:dyDescent="0.3">
      <c r="A95" s="10">
        <v>45841</v>
      </c>
      <c r="B95" s="26">
        <v>8539</v>
      </c>
      <c r="C95" s="26">
        <v>3030</v>
      </c>
      <c r="D95" s="26">
        <v>2301.27</v>
      </c>
      <c r="E95" s="26">
        <v>5744.66</v>
      </c>
      <c r="F95" s="26">
        <v>728.91</v>
      </c>
      <c r="G95" s="26">
        <v>992.71</v>
      </c>
      <c r="H95" s="26">
        <v>1571.21</v>
      </c>
      <c r="I95" s="26">
        <v>0</v>
      </c>
      <c r="J95" s="26">
        <v>230.24</v>
      </c>
      <c r="K95" s="26">
        <v>0</v>
      </c>
      <c r="L95" s="1">
        <f>VLOOKUP(Table2[[#This Row],[Date]],SW_LU[],3,TRUE)</f>
        <v>72</v>
      </c>
    </row>
    <row r="96" spans="1:20" x14ac:dyDescent="0.3">
      <c r="A96" s="10">
        <v>45842</v>
      </c>
      <c r="B96" s="26">
        <v>8191</v>
      </c>
      <c r="C96" s="26">
        <v>3171</v>
      </c>
      <c r="D96" s="26">
        <v>2377.65</v>
      </c>
      <c r="E96" s="26">
        <v>5549.09</v>
      </c>
      <c r="F96" s="26">
        <v>792.93</v>
      </c>
      <c r="G96" s="26">
        <v>792.93</v>
      </c>
      <c r="H96" s="26">
        <v>1584.72</v>
      </c>
      <c r="I96" s="26">
        <v>0</v>
      </c>
      <c r="J96" s="26">
        <v>264.69</v>
      </c>
      <c r="K96" s="26">
        <v>0</v>
      </c>
      <c r="L96" s="1">
        <f>VLOOKUP(Table2[[#This Row],[Date]],SW_LU[],3,TRUE)</f>
        <v>72</v>
      </c>
    </row>
    <row r="97" spans="1:12" x14ac:dyDescent="0.3">
      <c r="A97" s="10">
        <v>45843</v>
      </c>
      <c r="B97" s="26">
        <v>4679</v>
      </c>
      <c r="C97" s="26">
        <v>2004</v>
      </c>
      <c r="D97" s="26">
        <v>1530.41</v>
      </c>
      <c r="E97" s="26">
        <v>3098.91</v>
      </c>
      <c r="F97" s="26">
        <v>473.82</v>
      </c>
      <c r="G97" s="26">
        <v>582.76</v>
      </c>
      <c r="H97" s="26">
        <v>893.52</v>
      </c>
      <c r="I97" s="26">
        <v>0</v>
      </c>
      <c r="J97" s="26">
        <v>103.59</v>
      </c>
      <c r="K97" s="26">
        <v>0</v>
      </c>
      <c r="L97" s="1">
        <f>VLOOKUP(Table2[[#This Row],[Date]],SW_LU[],3,TRUE)</f>
        <v>72</v>
      </c>
    </row>
    <row r="98" spans="1:12" x14ac:dyDescent="0.3">
      <c r="A98" s="10">
        <v>45844</v>
      </c>
      <c r="B98" s="26">
        <v>2533</v>
      </c>
      <c r="C98" s="26">
        <v>1195</v>
      </c>
      <c r="D98" s="26">
        <v>926.78</v>
      </c>
      <c r="E98" s="26">
        <v>1637.34</v>
      </c>
      <c r="F98" s="26">
        <v>268.42</v>
      </c>
      <c r="G98" s="26">
        <v>389.95</v>
      </c>
      <c r="H98" s="26">
        <v>476.44</v>
      </c>
      <c r="I98" s="26">
        <v>0</v>
      </c>
      <c r="J98" s="26">
        <v>29.08</v>
      </c>
      <c r="K98" s="26">
        <v>0</v>
      </c>
      <c r="L98" s="1">
        <f>VLOOKUP(Table2[[#This Row],[Date]],SW_LU[],3,TRUE)</f>
        <v>72</v>
      </c>
    </row>
    <row r="99" spans="1:12" x14ac:dyDescent="0.3">
      <c r="A99" s="10">
        <v>45845</v>
      </c>
      <c r="B99" s="26">
        <v>2927</v>
      </c>
      <c r="C99" s="26">
        <v>1518</v>
      </c>
      <c r="D99" s="26">
        <v>1192.5899999999999</v>
      </c>
      <c r="E99" s="26">
        <v>1842.45</v>
      </c>
      <c r="F99" s="26">
        <v>325.37</v>
      </c>
      <c r="G99" s="26">
        <v>542.29</v>
      </c>
      <c r="H99" s="26">
        <v>542.29</v>
      </c>
      <c r="I99" s="26">
        <v>0</v>
      </c>
      <c r="J99" s="26">
        <v>0</v>
      </c>
      <c r="K99" s="26">
        <v>0</v>
      </c>
      <c r="L99" s="1">
        <f>VLOOKUP(Table2[[#This Row],[Date]],SW_LU[],3,TRUE)</f>
        <v>72</v>
      </c>
    </row>
    <row r="100" spans="1:12" x14ac:dyDescent="0.3">
      <c r="A100" s="10">
        <v>45846</v>
      </c>
      <c r="B100" s="26">
        <v>3159</v>
      </c>
      <c r="C100" s="26">
        <v>2142</v>
      </c>
      <c r="D100" s="26">
        <v>1830.44</v>
      </c>
      <c r="E100" s="26">
        <v>2159.1</v>
      </c>
      <c r="F100" s="26">
        <v>311.7</v>
      </c>
      <c r="G100" s="26">
        <v>617.57000000000005</v>
      </c>
      <c r="H100" s="26">
        <v>382.2</v>
      </c>
      <c r="I100" s="26">
        <v>0</v>
      </c>
      <c r="J100" s="26">
        <v>0</v>
      </c>
      <c r="K100" s="26">
        <v>0</v>
      </c>
      <c r="L100" s="1">
        <f>VLOOKUP(Table2[[#This Row],[Date]],SW_LU[],3,TRUE)</f>
        <v>72</v>
      </c>
    </row>
    <row r="101" spans="1:12" x14ac:dyDescent="0.3">
      <c r="A101" s="10">
        <v>45847</v>
      </c>
      <c r="B101" s="26">
        <v>5224</v>
      </c>
      <c r="C101" s="26">
        <v>4571</v>
      </c>
      <c r="D101" s="26">
        <v>4135.8500000000004</v>
      </c>
      <c r="E101" s="26">
        <v>3918.4</v>
      </c>
      <c r="F101" s="26">
        <v>434.94</v>
      </c>
      <c r="G101" s="26">
        <v>1088.3399999999999</v>
      </c>
      <c r="H101" s="26">
        <v>217.47</v>
      </c>
      <c r="I101" s="26">
        <v>0</v>
      </c>
      <c r="J101" s="26">
        <v>0</v>
      </c>
      <c r="K101" s="26">
        <v>0</v>
      </c>
      <c r="L101" s="1">
        <f>VLOOKUP(Table2[[#This Row],[Date]],SW_LU[],3,TRUE)</f>
        <v>72</v>
      </c>
    </row>
    <row r="102" spans="1:12" x14ac:dyDescent="0.3">
      <c r="A102" s="10">
        <v>45848</v>
      </c>
      <c r="B102" s="26">
        <v>9257</v>
      </c>
      <c r="C102" s="26">
        <v>4932</v>
      </c>
      <c r="D102" s="26">
        <v>4414.2</v>
      </c>
      <c r="E102" s="26">
        <v>6284.31</v>
      </c>
      <c r="F102" s="26">
        <v>517.9</v>
      </c>
      <c r="G102" s="26">
        <v>1802</v>
      </c>
      <c r="H102" s="26">
        <v>1170.5899999999999</v>
      </c>
      <c r="I102" s="26">
        <v>0</v>
      </c>
      <c r="J102" s="26">
        <v>0</v>
      </c>
      <c r="K102" s="26">
        <v>0</v>
      </c>
      <c r="L102" s="1">
        <f>VLOOKUP(Table2[[#This Row],[Date]],SW_LU[],3,TRUE)</f>
        <v>73</v>
      </c>
    </row>
    <row r="103" spans="1:12" x14ac:dyDescent="0.3">
      <c r="A103" s="10">
        <v>45849</v>
      </c>
      <c r="B103" s="26">
        <v>12557</v>
      </c>
      <c r="C103" s="26">
        <v>3721</v>
      </c>
      <c r="D103" s="26">
        <v>3255.2</v>
      </c>
      <c r="E103" s="26">
        <v>7905.63</v>
      </c>
      <c r="F103" s="26">
        <v>465.49</v>
      </c>
      <c r="G103" s="26">
        <v>2325.84</v>
      </c>
      <c r="H103" s="26">
        <v>2325.84</v>
      </c>
      <c r="I103" s="26">
        <v>0</v>
      </c>
      <c r="J103" s="26">
        <v>0</v>
      </c>
      <c r="K103" s="26">
        <v>0</v>
      </c>
      <c r="L103" s="1">
        <f>VLOOKUP(Table2[[#This Row],[Date]],SW_LU[],3,TRUE)</f>
        <v>73</v>
      </c>
    </row>
    <row r="104" spans="1:12" x14ac:dyDescent="0.3">
      <c r="A104" s="10">
        <v>45850</v>
      </c>
      <c r="B104" s="26">
        <v>7374</v>
      </c>
      <c r="C104" s="26">
        <v>3040</v>
      </c>
      <c r="D104" s="26">
        <v>2842.25</v>
      </c>
      <c r="E104" s="26">
        <v>4825.3100000000004</v>
      </c>
      <c r="F104" s="26">
        <v>197.89</v>
      </c>
      <c r="G104" s="26">
        <v>1314.37</v>
      </c>
      <c r="H104" s="26">
        <v>1234.18</v>
      </c>
      <c r="I104" s="26">
        <v>0</v>
      </c>
      <c r="J104" s="26">
        <v>0</v>
      </c>
      <c r="K104" s="26">
        <v>0</v>
      </c>
      <c r="L104" s="1">
        <f>VLOOKUP(Table2[[#This Row],[Date]],SW_LU[],3,TRUE)</f>
        <v>73</v>
      </c>
    </row>
    <row r="105" spans="1:12" x14ac:dyDescent="0.3">
      <c r="A105" s="10">
        <v>45851</v>
      </c>
      <c r="B105" s="26">
        <v>3651</v>
      </c>
      <c r="C105" s="26">
        <v>2011</v>
      </c>
      <c r="D105" s="26">
        <v>1957.7</v>
      </c>
      <c r="E105" s="26">
        <v>2496.9499999999998</v>
      </c>
      <c r="F105" s="26">
        <v>53.8</v>
      </c>
      <c r="G105" s="26">
        <v>620.66</v>
      </c>
      <c r="H105" s="26">
        <v>532.89</v>
      </c>
      <c r="I105" s="26">
        <v>0</v>
      </c>
      <c r="J105" s="26">
        <v>0</v>
      </c>
      <c r="K105" s="26">
        <v>0</v>
      </c>
      <c r="L105" s="1">
        <f>VLOOKUP(Table2[[#This Row],[Date]],SW_LU[],3,TRUE)</f>
        <v>73</v>
      </c>
    </row>
    <row r="106" spans="1:12" x14ac:dyDescent="0.3">
      <c r="A106" s="10">
        <v>45852</v>
      </c>
      <c r="B106" s="26">
        <v>2264</v>
      </c>
      <c r="C106" s="26">
        <v>1630</v>
      </c>
      <c r="D106" s="26">
        <v>1630.03</v>
      </c>
      <c r="E106" s="26">
        <v>1630.03</v>
      </c>
      <c r="F106" s="26">
        <v>0</v>
      </c>
      <c r="G106" s="26">
        <v>362.14</v>
      </c>
      <c r="H106" s="26">
        <v>271.8</v>
      </c>
      <c r="I106" s="26">
        <v>0</v>
      </c>
      <c r="J106" s="26">
        <v>0</v>
      </c>
      <c r="K106" s="26">
        <v>0</v>
      </c>
      <c r="L106" s="1">
        <f>VLOOKUP(Table2[[#This Row],[Date]],SW_LU[],3,TRUE)</f>
        <v>73</v>
      </c>
    </row>
    <row r="107" spans="1:12" x14ac:dyDescent="0.3">
      <c r="A107" s="10">
        <v>45853</v>
      </c>
      <c r="B107" s="26">
        <v>741</v>
      </c>
      <c r="C107" s="26">
        <v>790</v>
      </c>
      <c r="D107" s="26">
        <v>720.64</v>
      </c>
      <c r="E107" s="26">
        <v>494.36</v>
      </c>
      <c r="F107" s="26">
        <v>69.66</v>
      </c>
      <c r="G107" s="26">
        <v>123.4</v>
      </c>
      <c r="H107" s="26">
        <v>122.94</v>
      </c>
      <c r="I107" s="26">
        <v>0</v>
      </c>
      <c r="J107" s="26">
        <v>0</v>
      </c>
      <c r="K107" s="26">
        <v>0</v>
      </c>
      <c r="L107" s="1">
        <f>VLOOKUP(Table2[[#This Row],[Date]],SW_LU[],3,TRUE)</f>
        <v>73</v>
      </c>
    </row>
    <row r="108" spans="1:12" x14ac:dyDescent="0.3">
      <c r="A108" s="10">
        <v>45854</v>
      </c>
      <c r="B108" s="26">
        <v>198</v>
      </c>
      <c r="C108" s="26">
        <v>314</v>
      </c>
      <c r="D108" s="26">
        <v>267.62</v>
      </c>
      <c r="E108" s="26">
        <v>116.38</v>
      </c>
      <c r="F108" s="26">
        <v>46.54</v>
      </c>
      <c r="G108" s="26">
        <v>34.92</v>
      </c>
      <c r="H108" s="26">
        <v>46.54</v>
      </c>
      <c r="I108" s="26">
        <v>0</v>
      </c>
      <c r="J108" s="26">
        <v>0</v>
      </c>
      <c r="K108" s="26">
        <v>0</v>
      </c>
      <c r="L108" s="1">
        <f>VLOOKUP(Table2[[#This Row],[Date]],SW_LU[],3,TRUE)</f>
        <v>73</v>
      </c>
    </row>
    <row r="109" spans="1:12" x14ac:dyDescent="0.3">
      <c r="A109" s="10">
        <v>45855</v>
      </c>
      <c r="B109" s="26">
        <v>116</v>
      </c>
      <c r="C109" s="26">
        <v>147</v>
      </c>
      <c r="D109" s="26">
        <v>120.87</v>
      </c>
      <c r="E109" s="26">
        <v>64.2</v>
      </c>
      <c r="F109" s="26">
        <v>25.67</v>
      </c>
      <c r="G109" s="26">
        <v>26.56</v>
      </c>
      <c r="H109" s="26">
        <v>23.25</v>
      </c>
      <c r="I109" s="26">
        <v>0</v>
      </c>
      <c r="J109" s="26">
        <v>2.4500000000000002</v>
      </c>
      <c r="K109" s="26">
        <v>0</v>
      </c>
      <c r="L109" s="1">
        <f>VLOOKUP(Table2[[#This Row],[Date]],SW_LU[],3,TRUE)</f>
        <v>74</v>
      </c>
    </row>
    <row r="110" spans="1:12" x14ac:dyDescent="0.3">
      <c r="A110" s="10">
        <v>45856</v>
      </c>
      <c r="B110" s="26">
        <v>84</v>
      </c>
      <c r="C110" s="26">
        <v>85</v>
      </c>
      <c r="D110" s="26">
        <v>67.010000000000005</v>
      </c>
      <c r="E110" s="26">
        <v>44.09</v>
      </c>
      <c r="F110" s="26">
        <v>17.64</v>
      </c>
      <c r="G110" s="26">
        <v>22.61</v>
      </c>
      <c r="H110" s="26">
        <v>14.52</v>
      </c>
      <c r="I110" s="26">
        <v>0</v>
      </c>
      <c r="J110" s="26">
        <v>3.13</v>
      </c>
      <c r="K110" s="26">
        <v>0</v>
      </c>
      <c r="L110" s="1">
        <f>VLOOKUP(Table2[[#This Row],[Date]],SW_LU[],3,TRUE)</f>
        <v>74</v>
      </c>
    </row>
    <row r="111" spans="1:12" x14ac:dyDescent="0.3">
      <c r="A111" s="10">
        <v>45857</v>
      </c>
      <c r="B111" s="26">
        <v>690</v>
      </c>
      <c r="C111" s="26">
        <v>552</v>
      </c>
      <c r="D111" s="26">
        <v>413.96</v>
      </c>
      <c r="E111" s="26">
        <v>345.03</v>
      </c>
      <c r="F111" s="26">
        <v>137.99</v>
      </c>
      <c r="G111" s="26">
        <v>207.04</v>
      </c>
      <c r="H111" s="26">
        <v>103.46</v>
      </c>
      <c r="I111" s="26">
        <v>0</v>
      </c>
      <c r="J111" s="26">
        <v>34.53</v>
      </c>
      <c r="K111" s="26">
        <v>0</v>
      </c>
      <c r="L111" s="1">
        <f>VLOOKUP(Table2[[#This Row],[Date]],SW_LU[],3,TRUE)</f>
        <v>74</v>
      </c>
    </row>
    <row r="112" spans="1:12" x14ac:dyDescent="0.3">
      <c r="A112" s="10">
        <v>45858</v>
      </c>
      <c r="B112" s="26">
        <v>2774</v>
      </c>
      <c r="C112" s="26">
        <v>2427</v>
      </c>
      <c r="D112" s="26">
        <v>1863.4</v>
      </c>
      <c r="E112" s="26">
        <v>1430.55</v>
      </c>
      <c r="F112" s="26">
        <v>563.38</v>
      </c>
      <c r="G112" s="26">
        <v>780.3</v>
      </c>
      <c r="H112" s="26">
        <v>455.18</v>
      </c>
      <c r="I112" s="26">
        <v>0</v>
      </c>
      <c r="J112" s="26">
        <v>108.2</v>
      </c>
      <c r="K112" s="26">
        <v>0</v>
      </c>
      <c r="L112" s="1">
        <f>VLOOKUP(Table2[[#This Row],[Date]],SW_LU[],3,TRUE)</f>
        <v>74</v>
      </c>
    </row>
    <row r="113" spans="1:12" x14ac:dyDescent="0.3">
      <c r="A113" s="10">
        <v>45859</v>
      </c>
      <c r="B113" s="26">
        <v>3379</v>
      </c>
      <c r="C113" s="26">
        <v>3232</v>
      </c>
      <c r="D113" s="26">
        <v>2534</v>
      </c>
      <c r="E113" s="26">
        <v>1799.51</v>
      </c>
      <c r="F113" s="26">
        <v>698.12</v>
      </c>
      <c r="G113" s="26">
        <v>881.25</v>
      </c>
      <c r="H113" s="26">
        <v>606.23</v>
      </c>
      <c r="I113" s="26">
        <v>0</v>
      </c>
      <c r="J113" s="26">
        <v>91.89</v>
      </c>
      <c r="K113" s="26">
        <v>0</v>
      </c>
      <c r="L113" s="1">
        <f>VLOOKUP(Table2[[#This Row],[Date]],SW_LU[],3,TRUE)</f>
        <v>74</v>
      </c>
    </row>
    <row r="114" spans="1:12" x14ac:dyDescent="0.3">
      <c r="A114" s="10">
        <v>45860</v>
      </c>
      <c r="B114" s="26">
        <v>2463</v>
      </c>
      <c r="C114" s="26">
        <v>2575</v>
      </c>
      <c r="D114" s="26">
        <v>2057.52</v>
      </c>
      <c r="E114" s="26">
        <v>1357.24</v>
      </c>
      <c r="F114" s="26">
        <v>517.91</v>
      </c>
      <c r="G114" s="26">
        <v>587.92999999999995</v>
      </c>
      <c r="H114" s="26">
        <v>482.64</v>
      </c>
      <c r="I114" s="26">
        <v>0</v>
      </c>
      <c r="J114" s="26">
        <v>34.76</v>
      </c>
      <c r="K114" s="26">
        <v>0</v>
      </c>
      <c r="L114" s="1">
        <f>VLOOKUP(Table2[[#This Row],[Date]],SW_LU[],3,TRUE)</f>
        <v>74</v>
      </c>
    </row>
    <row r="115" spans="1:12" x14ac:dyDescent="0.3">
      <c r="A115" s="10">
        <v>45861</v>
      </c>
      <c r="B115" s="26">
        <v>2060</v>
      </c>
      <c r="C115" s="26">
        <v>2354</v>
      </c>
      <c r="D115" s="26">
        <v>1912.59</v>
      </c>
      <c r="E115" s="26">
        <v>1177.21</v>
      </c>
      <c r="F115" s="26">
        <v>441.4</v>
      </c>
      <c r="G115" s="26">
        <v>441.4</v>
      </c>
      <c r="H115" s="26">
        <v>441.4</v>
      </c>
      <c r="I115" s="26">
        <v>0</v>
      </c>
      <c r="J115" s="26">
        <v>0</v>
      </c>
      <c r="K115" s="26">
        <v>0</v>
      </c>
      <c r="L115" s="1">
        <f>VLOOKUP(Table2[[#This Row],[Date]],SW_LU[],3,TRUE)</f>
        <v>74</v>
      </c>
    </row>
    <row r="116" spans="1:12" x14ac:dyDescent="0.3">
      <c r="A116" s="10">
        <v>45862</v>
      </c>
      <c r="B116" s="26">
        <v>2032</v>
      </c>
      <c r="C116" s="26">
        <v>1833</v>
      </c>
      <c r="D116" s="26">
        <v>1487.25</v>
      </c>
      <c r="E116" s="26">
        <v>1174.19</v>
      </c>
      <c r="F116" s="26">
        <v>345.92</v>
      </c>
      <c r="G116" s="26">
        <v>419.74</v>
      </c>
      <c r="H116" s="26">
        <v>437.9</v>
      </c>
      <c r="I116" s="26">
        <v>0</v>
      </c>
      <c r="J116" s="26">
        <v>0</v>
      </c>
      <c r="K116" s="26">
        <v>0</v>
      </c>
      <c r="L116" s="1">
        <f>VLOOKUP(Table2[[#This Row],[Date]],SW_LU[],3,TRUE)</f>
        <v>75</v>
      </c>
    </row>
    <row r="117" spans="1:12" x14ac:dyDescent="0.3">
      <c r="A117" s="10">
        <v>45863</v>
      </c>
      <c r="B117" s="26">
        <v>2799</v>
      </c>
      <c r="C117" s="26">
        <v>1988</v>
      </c>
      <c r="D117" s="26">
        <v>1609.39</v>
      </c>
      <c r="E117" s="26">
        <v>1632.37</v>
      </c>
      <c r="F117" s="26">
        <v>378.17</v>
      </c>
      <c r="G117" s="26">
        <v>560.55999999999995</v>
      </c>
      <c r="H117" s="26">
        <v>606.51</v>
      </c>
      <c r="I117" s="26">
        <v>0</v>
      </c>
      <c r="J117" s="26">
        <v>0</v>
      </c>
      <c r="K117" s="26">
        <v>0</v>
      </c>
      <c r="L117" s="1">
        <f>VLOOKUP(Table2[[#This Row],[Date]],SW_LU[],3,TRUE)</f>
        <v>75</v>
      </c>
    </row>
    <row r="118" spans="1:12" x14ac:dyDescent="0.3">
      <c r="A118" s="10">
        <v>45864</v>
      </c>
      <c r="B118" s="26">
        <v>4178</v>
      </c>
      <c r="C118" s="26">
        <v>2311</v>
      </c>
      <c r="D118" s="26">
        <v>1866.24</v>
      </c>
      <c r="E118" s="26">
        <v>2453.4899999999998</v>
      </c>
      <c r="F118" s="26">
        <v>445.15</v>
      </c>
      <c r="G118" s="26">
        <v>815.67</v>
      </c>
      <c r="H118" s="26">
        <v>908.46</v>
      </c>
      <c r="I118" s="26">
        <v>0</v>
      </c>
      <c r="J118" s="26">
        <v>0</v>
      </c>
      <c r="K118" s="26">
        <v>0</v>
      </c>
      <c r="L118" s="1">
        <f>VLOOKUP(Table2[[#This Row],[Date]],SW_LU[],3,TRUE)</f>
        <v>75</v>
      </c>
    </row>
    <row r="119" spans="1:12" x14ac:dyDescent="0.3">
      <c r="A119" s="10">
        <v>45865</v>
      </c>
      <c r="B119" s="26">
        <v>5478</v>
      </c>
      <c r="C119" s="26">
        <v>2316</v>
      </c>
      <c r="D119" s="26">
        <v>1863.01</v>
      </c>
      <c r="E119" s="26">
        <v>3236.26</v>
      </c>
      <c r="F119" s="26">
        <v>452.89</v>
      </c>
      <c r="G119" s="26">
        <v>1046.8699999999999</v>
      </c>
      <c r="H119" s="26">
        <v>1194.97</v>
      </c>
      <c r="I119" s="26">
        <v>0</v>
      </c>
      <c r="J119" s="26">
        <v>0</v>
      </c>
      <c r="K119" s="26">
        <v>0</v>
      </c>
      <c r="L119" s="1">
        <f>VLOOKUP(Table2[[#This Row],[Date]],SW_LU[],3,TRUE)</f>
        <v>75</v>
      </c>
    </row>
    <row r="120" spans="1:12" x14ac:dyDescent="0.3">
      <c r="A120" s="10">
        <v>45866</v>
      </c>
      <c r="B120" s="26">
        <v>6805</v>
      </c>
      <c r="C120" s="26">
        <v>2126</v>
      </c>
      <c r="D120" s="26">
        <v>1701.17</v>
      </c>
      <c r="E120" s="26">
        <v>4040.04</v>
      </c>
      <c r="F120" s="26">
        <v>425.07</v>
      </c>
      <c r="G120" s="26">
        <v>1276.0999999999999</v>
      </c>
      <c r="H120" s="26">
        <v>1488.63</v>
      </c>
      <c r="I120" s="26">
        <v>0</v>
      </c>
      <c r="J120" s="26">
        <v>0</v>
      </c>
      <c r="K120" s="26">
        <v>0</v>
      </c>
      <c r="L120" s="1">
        <f>VLOOKUP(Table2[[#This Row],[Date]],SW_LU[],3,TRUE)</f>
        <v>75</v>
      </c>
    </row>
    <row r="121" spans="1:12" x14ac:dyDescent="0.3">
      <c r="A121" s="10">
        <v>45867</v>
      </c>
      <c r="B121" s="26">
        <v>8455</v>
      </c>
      <c r="C121" s="26">
        <v>2940</v>
      </c>
      <c r="D121" s="26">
        <v>2498</v>
      </c>
      <c r="E121" s="26">
        <v>4972.21</v>
      </c>
      <c r="F121" s="26">
        <v>442.16</v>
      </c>
      <c r="G121" s="26">
        <v>1489.46</v>
      </c>
      <c r="H121" s="26">
        <v>1912.25</v>
      </c>
      <c r="I121" s="26">
        <v>0</v>
      </c>
      <c r="J121" s="26">
        <v>80.91</v>
      </c>
      <c r="K121" s="26">
        <v>0</v>
      </c>
      <c r="L121" s="1">
        <f>VLOOKUP(Table2[[#This Row],[Date]],SW_LU[],3,TRUE)</f>
        <v>75</v>
      </c>
    </row>
    <row r="122" spans="1:12" x14ac:dyDescent="0.3">
      <c r="A122" s="10">
        <v>45868</v>
      </c>
      <c r="B122" s="26">
        <v>6717</v>
      </c>
      <c r="C122" s="26">
        <v>2586</v>
      </c>
      <c r="D122" s="26">
        <v>2306.21</v>
      </c>
      <c r="E122" s="26">
        <v>3910.05</v>
      </c>
      <c r="F122" s="26">
        <v>280.02</v>
      </c>
      <c r="G122" s="26">
        <v>1102.4100000000001</v>
      </c>
      <c r="H122" s="26">
        <v>1572.21</v>
      </c>
      <c r="I122" s="26">
        <v>0</v>
      </c>
      <c r="J122" s="26">
        <v>132.1</v>
      </c>
      <c r="K122" s="26">
        <v>0</v>
      </c>
      <c r="L122" s="1">
        <f>VLOOKUP(Table2[[#This Row],[Date]],SW_LU[],3,TRUE)</f>
        <v>75</v>
      </c>
    </row>
    <row r="123" spans="1:12" x14ac:dyDescent="0.3">
      <c r="A123" s="10">
        <v>45869</v>
      </c>
      <c r="B123" s="26">
        <v>5585</v>
      </c>
      <c r="C123" s="26">
        <v>2369</v>
      </c>
      <c r="D123" s="26">
        <v>2199.8000000000002</v>
      </c>
      <c r="E123" s="26">
        <v>3215.6</v>
      </c>
      <c r="F123" s="26">
        <v>169.4</v>
      </c>
      <c r="G123" s="26">
        <v>846.2</v>
      </c>
      <c r="H123" s="26">
        <v>1353.6</v>
      </c>
      <c r="I123" s="26">
        <v>0</v>
      </c>
      <c r="J123" s="26">
        <v>169.4</v>
      </c>
      <c r="K123" s="26">
        <v>0</v>
      </c>
      <c r="L123" s="1">
        <f>VLOOKUP(Table2[[#This Row],[Date]],SW_LU[],3,TRUE)</f>
        <v>81</v>
      </c>
    </row>
    <row r="124" spans="1:12" x14ac:dyDescent="0.3">
      <c r="A124" s="10">
        <v>45870</v>
      </c>
      <c r="B124" s="26">
        <v>4072</v>
      </c>
      <c r="C124" s="26">
        <v>1728</v>
      </c>
      <c r="D124" s="26">
        <v>1604</v>
      </c>
      <c r="E124" s="26">
        <v>2344.96</v>
      </c>
      <c r="F124" s="26">
        <v>123.52</v>
      </c>
      <c r="G124" s="26">
        <v>617.01</v>
      </c>
      <c r="H124" s="26">
        <v>986.99</v>
      </c>
      <c r="I124" s="26">
        <v>0</v>
      </c>
      <c r="J124" s="26">
        <v>123.52</v>
      </c>
      <c r="K124" s="26">
        <v>0</v>
      </c>
      <c r="L124" s="1">
        <f>VLOOKUP(Table2[[#This Row],[Date]],SW_LU[],3,TRUE)</f>
        <v>81</v>
      </c>
    </row>
    <row r="125" spans="1:12" x14ac:dyDescent="0.3">
      <c r="A125" s="10">
        <v>45871</v>
      </c>
      <c r="B125" s="26">
        <v>3933</v>
      </c>
      <c r="C125" s="26">
        <v>1669</v>
      </c>
      <c r="D125" s="26">
        <v>1549.24</v>
      </c>
      <c r="E125" s="26">
        <v>2264.92</v>
      </c>
      <c r="F125" s="26">
        <v>119.3</v>
      </c>
      <c r="G125" s="26">
        <v>595.95000000000005</v>
      </c>
      <c r="H125" s="26">
        <v>953.29</v>
      </c>
      <c r="I125" s="26">
        <v>0</v>
      </c>
      <c r="J125" s="26">
        <v>119.3</v>
      </c>
      <c r="K125" s="26">
        <v>0</v>
      </c>
      <c r="L125" s="1">
        <f>VLOOKUP(Table2[[#This Row],[Date]],SW_LU[],3,TRUE)</f>
        <v>81</v>
      </c>
    </row>
    <row r="126" spans="1:12" x14ac:dyDescent="0.3">
      <c r="A126" s="10">
        <v>45872</v>
      </c>
      <c r="B126" s="26">
        <v>3958</v>
      </c>
      <c r="C126" s="26">
        <v>1679</v>
      </c>
      <c r="D126" s="26">
        <v>1559.19</v>
      </c>
      <c r="E126" s="26">
        <v>2278.48</v>
      </c>
      <c r="F126" s="26">
        <v>120.07</v>
      </c>
      <c r="G126" s="26">
        <v>599.78</v>
      </c>
      <c r="H126" s="26">
        <v>959.42</v>
      </c>
      <c r="I126" s="26">
        <v>0</v>
      </c>
      <c r="J126" s="26">
        <v>120.07</v>
      </c>
      <c r="K126" s="26">
        <v>0</v>
      </c>
      <c r="L126" s="1">
        <f>VLOOKUP(Table2[[#This Row],[Date]],SW_LU[],3,TRUE)</f>
        <v>81</v>
      </c>
    </row>
    <row r="127" spans="1:12" x14ac:dyDescent="0.3">
      <c r="A127" s="10">
        <v>45873</v>
      </c>
      <c r="B127" s="26">
        <v>3289</v>
      </c>
      <c r="C127" s="26">
        <v>1395</v>
      </c>
      <c r="D127" s="26">
        <v>1295.5899999999999</v>
      </c>
      <c r="E127" s="26">
        <v>1893.27</v>
      </c>
      <c r="F127" s="26">
        <v>99.77</v>
      </c>
      <c r="G127" s="26">
        <v>498.38</v>
      </c>
      <c r="H127" s="26">
        <v>797.22</v>
      </c>
      <c r="I127" s="26">
        <v>0</v>
      </c>
      <c r="J127" s="26">
        <v>99.77</v>
      </c>
      <c r="K127" s="26">
        <v>0</v>
      </c>
      <c r="L127" s="1">
        <f>VLOOKUP(Table2[[#This Row],[Date]],SW_LU[],3,TRUE)</f>
        <v>81</v>
      </c>
    </row>
    <row r="128" spans="1:12" x14ac:dyDescent="0.3">
      <c r="A128" s="10">
        <v>45874</v>
      </c>
      <c r="B128" s="26">
        <v>2845</v>
      </c>
      <c r="C128" s="26">
        <v>1207</v>
      </c>
      <c r="D128" s="26">
        <v>1120.78</v>
      </c>
      <c r="E128" s="26">
        <v>1637.82</v>
      </c>
      <c r="F128" s="26">
        <v>86.31</v>
      </c>
      <c r="G128" s="26">
        <v>431.13</v>
      </c>
      <c r="H128" s="26">
        <v>689.65</v>
      </c>
      <c r="I128" s="26">
        <v>0</v>
      </c>
      <c r="J128" s="26">
        <v>86.31</v>
      </c>
      <c r="K128" s="26">
        <v>0</v>
      </c>
      <c r="L128" s="1">
        <f>VLOOKUP(Table2[[#This Row],[Date]],SW_LU[],3,TRUE)</f>
        <v>81</v>
      </c>
    </row>
    <row r="129" spans="1:12" x14ac:dyDescent="0.3">
      <c r="A129" s="10">
        <v>45875</v>
      </c>
      <c r="B129" s="26">
        <v>2376</v>
      </c>
      <c r="C129" s="26">
        <v>1008</v>
      </c>
      <c r="D129" s="26">
        <v>936.01</v>
      </c>
      <c r="E129" s="26">
        <v>1367.81</v>
      </c>
      <c r="F129" s="26">
        <v>72.08</v>
      </c>
      <c r="G129" s="26">
        <v>360.06</v>
      </c>
      <c r="H129" s="26">
        <v>575.96</v>
      </c>
      <c r="I129" s="26">
        <v>0</v>
      </c>
      <c r="J129" s="26">
        <v>72.08</v>
      </c>
      <c r="K129" s="26">
        <v>0</v>
      </c>
      <c r="L129" s="1">
        <f>VLOOKUP(Table2[[#This Row],[Date]],SW_LU[],3,TRUE)</f>
        <v>81</v>
      </c>
    </row>
    <row r="130" spans="1:12" x14ac:dyDescent="0.3">
      <c r="A130" s="10">
        <v>45876</v>
      </c>
      <c r="B130" s="26">
        <v>917</v>
      </c>
      <c r="C130" s="26">
        <v>389</v>
      </c>
      <c r="D130" s="26">
        <v>361.24</v>
      </c>
      <c r="E130" s="26">
        <v>527.89</v>
      </c>
      <c r="F130" s="26">
        <v>27.82</v>
      </c>
      <c r="G130" s="26">
        <v>138.96</v>
      </c>
      <c r="H130" s="26">
        <v>222.28</v>
      </c>
      <c r="I130" s="26">
        <v>0</v>
      </c>
      <c r="J130" s="26">
        <v>27.82</v>
      </c>
      <c r="K130" s="26">
        <v>0</v>
      </c>
      <c r="L130" s="1">
        <f>VLOOKUP(Table2[[#This Row],[Date]],SW_LU[],3,TRUE)</f>
        <v>82</v>
      </c>
    </row>
    <row r="131" spans="1:12" x14ac:dyDescent="0.3">
      <c r="A131" s="10">
        <v>45877</v>
      </c>
      <c r="B131" s="26">
        <v>1814</v>
      </c>
      <c r="C131" s="26">
        <v>769</v>
      </c>
      <c r="D131" s="26">
        <v>714.46</v>
      </c>
      <c r="E131" s="26">
        <v>1044.05</v>
      </c>
      <c r="F131" s="26">
        <v>55.02</v>
      </c>
      <c r="G131" s="26">
        <v>274.83</v>
      </c>
      <c r="H131" s="26">
        <v>439.63</v>
      </c>
      <c r="I131" s="26">
        <v>0</v>
      </c>
      <c r="J131" s="26">
        <v>55.02</v>
      </c>
      <c r="K131" s="26">
        <v>0</v>
      </c>
      <c r="L131" s="1">
        <f>VLOOKUP(Table2[[#This Row],[Date]],SW_LU[],3,TRUE)</f>
        <v>82</v>
      </c>
    </row>
    <row r="132" spans="1:12" x14ac:dyDescent="0.3">
      <c r="A132" s="10">
        <v>45878</v>
      </c>
      <c r="B132" s="26">
        <v>1305</v>
      </c>
      <c r="C132" s="26">
        <v>553</v>
      </c>
      <c r="D132" s="26">
        <v>513.91999999999996</v>
      </c>
      <c r="E132" s="26">
        <v>751</v>
      </c>
      <c r="F132" s="26">
        <v>39.58</v>
      </c>
      <c r="G132" s="26">
        <v>197.69</v>
      </c>
      <c r="H132" s="26">
        <v>316.23</v>
      </c>
      <c r="I132" s="26">
        <v>0</v>
      </c>
      <c r="J132" s="26">
        <v>39.58</v>
      </c>
      <c r="K132" s="26">
        <v>0</v>
      </c>
      <c r="L132" s="1">
        <f>VLOOKUP(Table2[[#This Row],[Date]],SW_LU[],3,TRUE)</f>
        <v>82</v>
      </c>
    </row>
    <row r="133" spans="1:12" x14ac:dyDescent="0.3">
      <c r="A133" s="10">
        <v>45879</v>
      </c>
      <c r="B133" s="26">
        <v>1385</v>
      </c>
      <c r="C133" s="26">
        <v>588</v>
      </c>
      <c r="D133" s="26">
        <v>545.73</v>
      </c>
      <c r="E133" s="26">
        <v>797.49</v>
      </c>
      <c r="F133" s="26">
        <v>42.02</v>
      </c>
      <c r="G133" s="26">
        <v>209.93</v>
      </c>
      <c r="H133" s="26">
        <v>335.8</v>
      </c>
      <c r="I133" s="26">
        <v>0</v>
      </c>
      <c r="J133" s="26">
        <v>42.02</v>
      </c>
      <c r="K133" s="26">
        <v>0</v>
      </c>
      <c r="L133" s="1">
        <f>VLOOKUP(Table2[[#This Row],[Date]],SW_LU[],3,TRUE)</f>
        <v>82</v>
      </c>
    </row>
    <row r="134" spans="1:12" x14ac:dyDescent="0.3">
      <c r="A134" s="10">
        <v>45880</v>
      </c>
      <c r="B134" s="26">
        <v>898</v>
      </c>
      <c r="C134" s="26">
        <v>381</v>
      </c>
      <c r="D134" s="26">
        <v>353.77</v>
      </c>
      <c r="E134" s="26">
        <v>516.97</v>
      </c>
      <c r="F134" s="26">
        <v>27.24</v>
      </c>
      <c r="G134" s="26">
        <v>136.09</v>
      </c>
      <c r="H134" s="26">
        <v>217.69</v>
      </c>
      <c r="I134" s="26">
        <v>0</v>
      </c>
      <c r="J134" s="26">
        <v>27.24</v>
      </c>
      <c r="K134" s="26">
        <v>0</v>
      </c>
      <c r="L134" s="1">
        <f>VLOOKUP(Table2[[#This Row],[Date]],SW_LU[],3,TRUE)</f>
        <v>82</v>
      </c>
    </row>
    <row r="135" spans="1:12" x14ac:dyDescent="0.3">
      <c r="A135" s="10">
        <v>45881</v>
      </c>
      <c r="B135" s="26">
        <v>454</v>
      </c>
      <c r="C135" s="26">
        <v>192</v>
      </c>
      <c r="D135" s="26">
        <v>178.68</v>
      </c>
      <c r="E135" s="26">
        <v>261.11</v>
      </c>
      <c r="F135" s="26">
        <v>13.76</v>
      </c>
      <c r="G135" s="26">
        <v>68.73</v>
      </c>
      <c r="H135" s="26">
        <v>109.95</v>
      </c>
      <c r="I135" s="26">
        <v>0</v>
      </c>
      <c r="J135" s="26">
        <v>13.76</v>
      </c>
      <c r="K135" s="26">
        <v>0</v>
      </c>
      <c r="L135" s="1">
        <f>VLOOKUP(Table2[[#This Row],[Date]],SW_LU[],3,TRUE)</f>
        <v>82</v>
      </c>
    </row>
    <row r="136" spans="1:12" x14ac:dyDescent="0.3">
      <c r="A136" s="10">
        <v>45882</v>
      </c>
      <c r="B136" s="26">
        <v>277</v>
      </c>
      <c r="C136" s="26">
        <v>117</v>
      </c>
      <c r="D136" s="26">
        <v>108.98</v>
      </c>
      <c r="E136" s="26">
        <v>159.25</v>
      </c>
      <c r="F136" s="26">
        <v>8.39</v>
      </c>
      <c r="G136" s="26">
        <v>41.92</v>
      </c>
      <c r="H136" s="26">
        <v>67.06</v>
      </c>
      <c r="I136" s="26">
        <v>0</v>
      </c>
      <c r="J136" s="26">
        <v>8.39</v>
      </c>
      <c r="K136" s="26">
        <v>0</v>
      </c>
      <c r="L136" s="1">
        <f>VLOOKUP(Table2[[#This Row],[Date]],SW_LU[],3,TRUE)</f>
        <v>82</v>
      </c>
    </row>
    <row r="137" spans="1:12" x14ac:dyDescent="0.3">
      <c r="A137" s="10">
        <v>45883</v>
      </c>
      <c r="B137" s="26">
        <v>210</v>
      </c>
      <c r="C137" s="26">
        <v>89</v>
      </c>
      <c r="D137" s="26">
        <v>82.7</v>
      </c>
      <c r="E137" s="26">
        <v>120.86</v>
      </c>
      <c r="F137" s="26">
        <v>6.37</v>
      </c>
      <c r="G137" s="26">
        <v>31.81</v>
      </c>
      <c r="H137" s="26">
        <v>50.89</v>
      </c>
      <c r="I137" s="26">
        <v>0</v>
      </c>
      <c r="J137" s="26">
        <v>6.37</v>
      </c>
      <c r="K137" s="26">
        <v>0</v>
      </c>
      <c r="L137" s="1">
        <f>VLOOKUP(Table2[[#This Row],[Date]],SW_LU[],3,TRUE)</f>
        <v>83</v>
      </c>
    </row>
    <row r="138" spans="1:12" x14ac:dyDescent="0.3">
      <c r="A138" s="10">
        <v>45884</v>
      </c>
      <c r="B138" s="26">
        <v>628</v>
      </c>
      <c r="C138" s="26">
        <v>266</v>
      </c>
      <c r="D138" s="26">
        <v>247.28</v>
      </c>
      <c r="E138" s="26">
        <v>361.35</v>
      </c>
      <c r="F138" s="26">
        <v>19.04</v>
      </c>
      <c r="G138" s="26">
        <v>95.12</v>
      </c>
      <c r="H138" s="26">
        <v>152.16</v>
      </c>
      <c r="I138" s="26">
        <v>0</v>
      </c>
      <c r="J138" s="26">
        <v>19.04</v>
      </c>
      <c r="K138" s="26">
        <v>0</v>
      </c>
      <c r="L138" s="1">
        <f>VLOOKUP(Table2[[#This Row],[Date]],SW_LU[],3,TRUE)</f>
        <v>83</v>
      </c>
    </row>
    <row r="139" spans="1:12" x14ac:dyDescent="0.3">
      <c r="A139" s="10">
        <v>45885</v>
      </c>
      <c r="B139" s="26">
        <v>1013</v>
      </c>
      <c r="C139" s="26">
        <v>430</v>
      </c>
      <c r="D139" s="26">
        <v>399.13</v>
      </c>
      <c r="E139" s="26">
        <v>583.26</v>
      </c>
      <c r="F139" s="26">
        <v>30.74</v>
      </c>
      <c r="G139" s="26">
        <v>153.54</v>
      </c>
      <c r="H139" s="26">
        <v>245.6</v>
      </c>
      <c r="I139" s="26">
        <v>0</v>
      </c>
      <c r="J139" s="26">
        <v>30.74</v>
      </c>
      <c r="K139" s="26">
        <v>0</v>
      </c>
      <c r="L139" s="1">
        <f>VLOOKUP(Table2[[#This Row],[Date]],SW_LU[],3,TRUE)</f>
        <v>83</v>
      </c>
    </row>
    <row r="140" spans="1:12" x14ac:dyDescent="0.3">
      <c r="A140" s="10">
        <v>45886</v>
      </c>
      <c r="B140" s="26">
        <v>1262</v>
      </c>
      <c r="C140" s="26">
        <v>535</v>
      </c>
      <c r="D140" s="26">
        <v>497.05</v>
      </c>
      <c r="E140" s="26">
        <v>726.35</v>
      </c>
      <c r="F140" s="26">
        <v>38.28</v>
      </c>
      <c r="G140" s="26">
        <v>191.2</v>
      </c>
      <c r="H140" s="26">
        <v>305.85000000000002</v>
      </c>
      <c r="I140" s="26">
        <v>0</v>
      </c>
      <c r="J140" s="26">
        <v>38.28</v>
      </c>
      <c r="K140" s="26">
        <v>0</v>
      </c>
      <c r="L140" s="1">
        <f>VLOOKUP(Table2[[#This Row],[Date]],SW_LU[],3,TRUE)</f>
        <v>83</v>
      </c>
    </row>
    <row r="141" spans="1:12" x14ac:dyDescent="0.3">
      <c r="A141" s="10">
        <v>45887</v>
      </c>
      <c r="B141" s="26">
        <v>1022</v>
      </c>
      <c r="C141" s="26">
        <v>433</v>
      </c>
      <c r="D141" s="26">
        <v>402.45</v>
      </c>
      <c r="E141" s="26">
        <v>588.11</v>
      </c>
      <c r="F141" s="26">
        <v>30.99</v>
      </c>
      <c r="G141" s="26">
        <v>154.81</v>
      </c>
      <c r="H141" s="26">
        <v>247.64</v>
      </c>
      <c r="I141" s="26">
        <v>0</v>
      </c>
      <c r="J141" s="26">
        <v>30.99</v>
      </c>
      <c r="K141" s="26">
        <v>0</v>
      </c>
      <c r="L141" s="1">
        <f>VLOOKUP(Table2[[#This Row],[Date]],SW_LU[],3,TRUE)</f>
        <v>83</v>
      </c>
    </row>
    <row r="142" spans="1:12" x14ac:dyDescent="0.3">
      <c r="A142" s="10">
        <v>45888</v>
      </c>
      <c r="B142" s="26">
        <v>1105</v>
      </c>
      <c r="C142" s="26">
        <v>469</v>
      </c>
      <c r="D142" s="26">
        <v>435.09</v>
      </c>
      <c r="E142" s="26">
        <v>636.80999999999995</v>
      </c>
      <c r="F142" s="26">
        <v>33.5</v>
      </c>
      <c r="G142" s="26">
        <v>167.37</v>
      </c>
      <c r="H142" s="26">
        <v>267.72000000000003</v>
      </c>
      <c r="I142" s="26">
        <v>0</v>
      </c>
      <c r="J142" s="26">
        <v>33.5</v>
      </c>
      <c r="K142" s="26">
        <v>0</v>
      </c>
      <c r="L142" s="1">
        <f>VLOOKUP(Table2[[#This Row],[Date]],SW_LU[],3,TRUE)</f>
        <v>83</v>
      </c>
    </row>
    <row r="143" spans="1:12" x14ac:dyDescent="0.3">
      <c r="A143" s="10">
        <v>45889</v>
      </c>
      <c r="B143" s="26">
        <v>1375</v>
      </c>
      <c r="C143" s="26">
        <v>583</v>
      </c>
      <c r="D143" s="26">
        <v>541.58000000000004</v>
      </c>
      <c r="E143" s="26">
        <v>791.42</v>
      </c>
      <c r="F143" s="26">
        <v>41.71</v>
      </c>
      <c r="G143" s="26">
        <v>208.33</v>
      </c>
      <c r="H143" s="26">
        <v>333.25</v>
      </c>
      <c r="I143" s="26">
        <v>0</v>
      </c>
      <c r="J143" s="26">
        <v>41.71</v>
      </c>
      <c r="K143" s="26">
        <v>0</v>
      </c>
      <c r="L143" s="1">
        <f>VLOOKUP(Table2[[#This Row],[Date]],SW_LU[],3,TRUE)</f>
        <v>83</v>
      </c>
    </row>
    <row r="144" spans="1:12" x14ac:dyDescent="0.3">
      <c r="A144" s="10">
        <v>45890</v>
      </c>
      <c r="B144" s="26">
        <v>1510</v>
      </c>
      <c r="C144" s="26">
        <v>640</v>
      </c>
      <c r="D144" s="26">
        <v>594.69000000000005</v>
      </c>
      <c r="E144" s="26">
        <v>869.03</v>
      </c>
      <c r="F144" s="26">
        <v>45.8</v>
      </c>
      <c r="G144" s="26">
        <v>228.76</v>
      </c>
      <c r="H144" s="26">
        <v>365.93</v>
      </c>
      <c r="I144" s="26">
        <v>0</v>
      </c>
      <c r="J144" s="26">
        <v>45.8</v>
      </c>
      <c r="K144" s="26">
        <v>0</v>
      </c>
      <c r="L144" s="1">
        <f>VLOOKUP(Table2[[#This Row],[Date]],SW_LU[],3,TRUE)</f>
        <v>84</v>
      </c>
    </row>
    <row r="145" spans="1:12" x14ac:dyDescent="0.3">
      <c r="A145" s="10">
        <v>45891</v>
      </c>
      <c r="B145" s="26">
        <v>1255</v>
      </c>
      <c r="C145" s="26">
        <v>532</v>
      </c>
      <c r="D145" s="26">
        <v>494.28</v>
      </c>
      <c r="E145" s="26">
        <v>722.31</v>
      </c>
      <c r="F145" s="26">
        <v>38.06</v>
      </c>
      <c r="G145" s="26">
        <v>190.14</v>
      </c>
      <c r="H145" s="26">
        <v>304.14999999999998</v>
      </c>
      <c r="I145" s="26">
        <v>0</v>
      </c>
      <c r="J145" s="26">
        <v>38.06</v>
      </c>
      <c r="K145" s="26">
        <v>0</v>
      </c>
      <c r="L145" s="1">
        <f>VLOOKUP(Table2[[#This Row],[Date]],SW_LU[],3,TRUE)</f>
        <v>84</v>
      </c>
    </row>
    <row r="146" spans="1:12" x14ac:dyDescent="0.3">
      <c r="A146" s="10">
        <v>45892</v>
      </c>
      <c r="B146" s="26">
        <v>1528</v>
      </c>
      <c r="C146" s="26">
        <v>648</v>
      </c>
      <c r="D146" s="26">
        <v>601.88</v>
      </c>
      <c r="E146" s="26">
        <v>879.54</v>
      </c>
      <c r="F146" s="26">
        <v>46.35</v>
      </c>
      <c r="G146" s="26">
        <v>231.53</v>
      </c>
      <c r="H146" s="26">
        <v>370.36</v>
      </c>
      <c r="I146" s="26">
        <v>0</v>
      </c>
      <c r="J146" s="26">
        <v>46.35</v>
      </c>
      <c r="K146" s="26">
        <v>0</v>
      </c>
      <c r="L146" s="1">
        <f>VLOOKUP(Table2[[#This Row],[Date]],SW_LU[],3,TRUE)</f>
        <v>84</v>
      </c>
    </row>
    <row r="147" spans="1:12" x14ac:dyDescent="0.3">
      <c r="A147" s="10">
        <v>45893</v>
      </c>
      <c r="B147" s="26">
        <v>1260</v>
      </c>
      <c r="C147" s="26">
        <v>535</v>
      </c>
      <c r="D147" s="26">
        <v>496.5</v>
      </c>
      <c r="E147" s="26">
        <v>725.54</v>
      </c>
      <c r="F147" s="26">
        <v>38.229999999999997</v>
      </c>
      <c r="G147" s="26">
        <v>190.99</v>
      </c>
      <c r="H147" s="26">
        <v>305.51</v>
      </c>
      <c r="I147" s="26">
        <v>0</v>
      </c>
      <c r="J147" s="26">
        <v>38.229999999999997</v>
      </c>
      <c r="K147" s="26">
        <v>0</v>
      </c>
      <c r="L147" s="1">
        <f>VLOOKUP(Table2[[#This Row],[Date]],SW_LU[],3,TRUE)</f>
        <v>84</v>
      </c>
    </row>
    <row r="148" spans="1:12" x14ac:dyDescent="0.3">
      <c r="A148" s="10">
        <v>45894</v>
      </c>
      <c r="B148" s="26">
        <v>705</v>
      </c>
      <c r="C148" s="26">
        <v>299</v>
      </c>
      <c r="D148" s="26">
        <v>277.70999999999998</v>
      </c>
      <c r="E148" s="26">
        <v>405.82</v>
      </c>
      <c r="F148" s="26">
        <v>21.39</v>
      </c>
      <c r="G148" s="26">
        <v>106.83</v>
      </c>
      <c r="H148" s="26">
        <v>170.88</v>
      </c>
      <c r="I148" s="26">
        <v>0</v>
      </c>
      <c r="J148" s="26">
        <v>21.39</v>
      </c>
      <c r="K148" s="26">
        <v>0</v>
      </c>
      <c r="L148" s="1">
        <f>VLOOKUP(Table2[[#This Row],[Date]],SW_LU[],3,TRUE)</f>
        <v>84</v>
      </c>
    </row>
    <row r="149" spans="1:12" x14ac:dyDescent="0.3">
      <c r="A149" s="10">
        <v>45895</v>
      </c>
      <c r="B149" s="26">
        <v>376</v>
      </c>
      <c r="C149" s="26">
        <v>159</v>
      </c>
      <c r="D149" s="26">
        <v>147.97999999999999</v>
      </c>
      <c r="E149" s="26">
        <v>216.25</v>
      </c>
      <c r="F149" s="26">
        <v>11.4</v>
      </c>
      <c r="G149" s="26">
        <v>56.92</v>
      </c>
      <c r="H149" s="26">
        <v>91.06</v>
      </c>
      <c r="I149" s="26">
        <v>0</v>
      </c>
      <c r="J149" s="26">
        <v>11.4</v>
      </c>
      <c r="K149" s="26">
        <v>0</v>
      </c>
      <c r="L149" s="1">
        <f>VLOOKUP(Table2[[#This Row],[Date]],SW_LU[],3,TRUE)</f>
        <v>84</v>
      </c>
    </row>
    <row r="150" spans="1:12" x14ac:dyDescent="0.3">
      <c r="A150" s="10">
        <v>45896</v>
      </c>
      <c r="B150" s="26">
        <v>314</v>
      </c>
      <c r="C150" s="26">
        <v>133</v>
      </c>
      <c r="D150" s="26">
        <v>123.64</v>
      </c>
      <c r="E150" s="26">
        <v>180.68</v>
      </c>
      <c r="F150" s="26">
        <v>9.52</v>
      </c>
      <c r="G150" s="26">
        <v>47.56</v>
      </c>
      <c r="H150" s="26">
        <v>76.08</v>
      </c>
      <c r="I150" s="26">
        <v>0</v>
      </c>
      <c r="J150" s="26">
        <v>9.52</v>
      </c>
      <c r="K150" s="26">
        <v>0</v>
      </c>
      <c r="L150" s="1">
        <f>VLOOKUP(Table2[[#This Row],[Date]],SW_LU[],3,TRUE)</f>
        <v>84</v>
      </c>
    </row>
    <row r="151" spans="1:12" x14ac:dyDescent="0.3">
      <c r="A151" s="10">
        <v>45897</v>
      </c>
      <c r="B151" s="26">
        <v>271</v>
      </c>
      <c r="C151" s="26">
        <v>115</v>
      </c>
      <c r="D151" s="26">
        <v>106.77</v>
      </c>
      <c r="E151" s="26">
        <v>156.02000000000001</v>
      </c>
      <c r="F151" s="26">
        <v>8.2200000000000006</v>
      </c>
      <c r="G151" s="26">
        <v>41.07</v>
      </c>
      <c r="H151" s="26">
        <v>65.7</v>
      </c>
      <c r="I151" s="26">
        <v>0</v>
      </c>
      <c r="J151" s="26">
        <v>8.2200000000000006</v>
      </c>
      <c r="K151" s="26">
        <v>0</v>
      </c>
      <c r="L151" s="1">
        <f>VLOOKUP(Table2[[#This Row],[Date]],SW_LU[],3,TRUE)</f>
        <v>91</v>
      </c>
    </row>
    <row r="152" spans="1:12" x14ac:dyDescent="0.3">
      <c r="A152" s="10">
        <v>45898</v>
      </c>
      <c r="B152" s="26">
        <v>353</v>
      </c>
      <c r="C152" s="26">
        <v>150</v>
      </c>
      <c r="D152" s="26">
        <v>139.13</v>
      </c>
      <c r="E152" s="26">
        <v>203.31</v>
      </c>
      <c r="F152" s="26">
        <v>10.71</v>
      </c>
      <c r="G152" s="26">
        <v>53.52</v>
      </c>
      <c r="H152" s="26">
        <v>85.61</v>
      </c>
      <c r="I152" s="26">
        <v>0</v>
      </c>
      <c r="J152" s="26">
        <v>10.71</v>
      </c>
      <c r="K152" s="26">
        <v>0</v>
      </c>
      <c r="L152" s="1">
        <f>VLOOKUP(Table2[[#This Row],[Date]],SW_LU[],3,TRUE)</f>
        <v>91</v>
      </c>
    </row>
    <row r="153" spans="1:12" x14ac:dyDescent="0.3">
      <c r="A153" s="10">
        <v>45899</v>
      </c>
      <c r="B153" s="26">
        <v>496</v>
      </c>
      <c r="C153" s="26">
        <v>211</v>
      </c>
      <c r="D153" s="26">
        <v>195.56</v>
      </c>
      <c r="E153" s="26">
        <v>285.77</v>
      </c>
      <c r="F153" s="26">
        <v>15.06</v>
      </c>
      <c r="G153" s="26">
        <v>75.22</v>
      </c>
      <c r="H153" s="26">
        <v>120.33</v>
      </c>
      <c r="I153" s="26">
        <v>0</v>
      </c>
      <c r="J153" s="26">
        <v>15.06</v>
      </c>
      <c r="K153" s="26">
        <v>0</v>
      </c>
      <c r="L153" s="1">
        <f>VLOOKUP(Table2[[#This Row],[Date]],SW_LU[],3,TRUE)</f>
        <v>91</v>
      </c>
    </row>
    <row r="154" spans="1:12" x14ac:dyDescent="0.3">
      <c r="A154" s="10">
        <v>45900</v>
      </c>
      <c r="B154" s="26">
        <v>401</v>
      </c>
      <c r="C154" s="26">
        <v>170</v>
      </c>
      <c r="D154" s="26">
        <v>157.94</v>
      </c>
      <c r="E154" s="26">
        <v>230.8</v>
      </c>
      <c r="F154" s="26">
        <v>12.16</v>
      </c>
      <c r="G154" s="26">
        <v>60.75</v>
      </c>
      <c r="H154" s="26">
        <v>97.18</v>
      </c>
      <c r="I154" s="26">
        <v>0</v>
      </c>
      <c r="J154" s="26">
        <v>12.16</v>
      </c>
      <c r="K154" s="26">
        <v>0</v>
      </c>
      <c r="L154" s="1">
        <f>VLOOKUP(Table2[[#This Row],[Date]],SW_LU[],3,TRUE)</f>
        <v>91</v>
      </c>
    </row>
    <row r="155" spans="1:12" x14ac:dyDescent="0.3">
      <c r="A155" s="10">
        <v>45901</v>
      </c>
      <c r="B155" s="26">
        <v>539</v>
      </c>
      <c r="C155" s="26">
        <v>229</v>
      </c>
      <c r="D155" s="26">
        <v>212.43</v>
      </c>
      <c r="E155" s="26">
        <v>310.43</v>
      </c>
      <c r="F155" s="26">
        <v>16.36</v>
      </c>
      <c r="G155" s="26">
        <v>81.72</v>
      </c>
      <c r="H155" s="26">
        <v>130.71</v>
      </c>
      <c r="I155" s="26">
        <v>0</v>
      </c>
      <c r="J155" s="26">
        <v>16.36</v>
      </c>
      <c r="K155" s="26">
        <v>0</v>
      </c>
      <c r="L155" s="1">
        <f>VLOOKUP(Table2[[#This Row],[Date]],SW_LU[],3,TRUE)</f>
        <v>91</v>
      </c>
    </row>
    <row r="156" spans="1:12" x14ac:dyDescent="0.3">
      <c r="A156" s="10">
        <v>45902</v>
      </c>
      <c r="B156" s="26">
        <v>443</v>
      </c>
      <c r="C156" s="26">
        <v>188</v>
      </c>
      <c r="D156" s="26">
        <v>174.53</v>
      </c>
      <c r="E156" s="26">
        <v>255.05</v>
      </c>
      <c r="F156" s="26">
        <v>13.44</v>
      </c>
      <c r="G156" s="26">
        <v>67.14</v>
      </c>
      <c r="H156" s="26">
        <v>107.4</v>
      </c>
      <c r="I156" s="26">
        <v>0</v>
      </c>
      <c r="J156" s="26">
        <v>13.44</v>
      </c>
      <c r="K156" s="26">
        <v>0</v>
      </c>
      <c r="L156" s="1">
        <f>VLOOKUP(Table2[[#This Row],[Date]],SW_LU[],3,TRUE)</f>
        <v>91</v>
      </c>
    </row>
    <row r="157" spans="1:12" x14ac:dyDescent="0.3">
      <c r="A157" s="10">
        <v>45903</v>
      </c>
      <c r="B157" s="26">
        <v>397</v>
      </c>
      <c r="C157" s="26">
        <v>168</v>
      </c>
      <c r="D157" s="26">
        <v>156.28</v>
      </c>
      <c r="E157" s="26">
        <v>228.37</v>
      </c>
      <c r="F157" s="26">
        <v>12.03</v>
      </c>
      <c r="G157" s="26">
        <v>60.12</v>
      </c>
      <c r="H157" s="26">
        <v>96.16</v>
      </c>
      <c r="I157" s="26">
        <v>0</v>
      </c>
      <c r="J157" s="26">
        <v>12.03</v>
      </c>
      <c r="K157" s="26">
        <v>0</v>
      </c>
      <c r="L157" s="1">
        <f>VLOOKUP(Table2[[#This Row],[Date]],SW_LU[],3,TRUE)</f>
        <v>91</v>
      </c>
    </row>
    <row r="158" spans="1:12" x14ac:dyDescent="0.3">
      <c r="A158" s="10">
        <v>45904</v>
      </c>
      <c r="B158" s="26">
        <v>393</v>
      </c>
      <c r="C158" s="26">
        <v>167</v>
      </c>
      <c r="D158" s="26">
        <v>154.9</v>
      </c>
      <c r="E158" s="26">
        <v>226.35</v>
      </c>
      <c r="F158" s="26">
        <v>11.93</v>
      </c>
      <c r="G158" s="26">
        <v>59.58</v>
      </c>
      <c r="H158" s="26">
        <v>95.31</v>
      </c>
      <c r="I158" s="26">
        <v>0</v>
      </c>
      <c r="J158" s="26">
        <v>11.93</v>
      </c>
      <c r="K158" s="26">
        <v>0</v>
      </c>
      <c r="L158" s="1">
        <f>VLOOKUP(Table2[[#This Row],[Date]],SW_LU[],3,TRUE)</f>
        <v>92</v>
      </c>
    </row>
    <row r="159" spans="1:12" x14ac:dyDescent="0.3">
      <c r="A159" s="10">
        <v>45905</v>
      </c>
      <c r="B159" s="26">
        <v>209</v>
      </c>
      <c r="C159" s="26">
        <v>89</v>
      </c>
      <c r="D159" s="26">
        <v>82.43</v>
      </c>
      <c r="E159" s="26">
        <v>120.45</v>
      </c>
      <c r="F159" s="26">
        <v>6.35</v>
      </c>
      <c r="G159" s="26">
        <v>31.71</v>
      </c>
      <c r="H159" s="26">
        <v>50.72</v>
      </c>
      <c r="I159" s="26">
        <v>0</v>
      </c>
      <c r="J159" s="26">
        <v>6.35</v>
      </c>
      <c r="K159" s="26">
        <v>0</v>
      </c>
      <c r="L159" s="1">
        <f>VLOOKUP(Table2[[#This Row],[Date]],SW_LU[],3,TRUE)</f>
        <v>92</v>
      </c>
    </row>
    <row r="160" spans="1:12" x14ac:dyDescent="0.3">
      <c r="A160" s="10">
        <v>45906</v>
      </c>
      <c r="B160" s="26">
        <v>145</v>
      </c>
      <c r="C160" s="26">
        <v>61</v>
      </c>
      <c r="D160" s="26">
        <v>56.98</v>
      </c>
      <c r="E160" s="26">
        <v>83.27</v>
      </c>
      <c r="F160" s="26">
        <v>4.3899999999999997</v>
      </c>
      <c r="G160" s="26">
        <v>21.92</v>
      </c>
      <c r="H160" s="26">
        <v>35.06</v>
      </c>
      <c r="I160" s="26">
        <v>0</v>
      </c>
      <c r="J160" s="26">
        <v>4.3899999999999997</v>
      </c>
      <c r="K160" s="26">
        <v>0</v>
      </c>
      <c r="L160" s="1">
        <f>VLOOKUP(Table2[[#This Row],[Date]],SW_LU[],3,TRUE)</f>
        <v>92</v>
      </c>
    </row>
    <row r="161" spans="1:12" x14ac:dyDescent="0.3">
      <c r="A161" s="10">
        <v>45907</v>
      </c>
      <c r="B161" s="26">
        <v>221</v>
      </c>
      <c r="C161" s="26">
        <v>94</v>
      </c>
      <c r="D161" s="26">
        <v>87.13</v>
      </c>
      <c r="E161" s="26">
        <v>127.32</v>
      </c>
      <c r="F161" s="26">
        <v>6.71</v>
      </c>
      <c r="G161" s="26">
        <v>33.520000000000003</v>
      </c>
      <c r="H161" s="26">
        <v>53.61</v>
      </c>
      <c r="I161" s="26">
        <v>0</v>
      </c>
      <c r="J161" s="26">
        <v>6.71</v>
      </c>
      <c r="K161" s="26">
        <v>0</v>
      </c>
      <c r="L161" s="1">
        <f>VLOOKUP(Table2[[#This Row],[Date]],SW_LU[],3,TRUE)</f>
        <v>92</v>
      </c>
    </row>
    <row r="162" spans="1:12" x14ac:dyDescent="0.3">
      <c r="A162" s="10">
        <v>45908</v>
      </c>
      <c r="B162" s="26">
        <v>269</v>
      </c>
      <c r="C162" s="26">
        <v>114</v>
      </c>
      <c r="D162" s="26">
        <v>105.94</v>
      </c>
      <c r="E162" s="26">
        <v>154.81</v>
      </c>
      <c r="F162" s="26">
        <v>8.16</v>
      </c>
      <c r="G162" s="26">
        <v>40.75</v>
      </c>
      <c r="H162" s="26">
        <v>65.19</v>
      </c>
      <c r="I162" s="26">
        <v>0</v>
      </c>
      <c r="J162" s="26">
        <v>8.16</v>
      </c>
      <c r="K162" s="26">
        <v>0</v>
      </c>
      <c r="L162" s="1">
        <f>VLOOKUP(Table2[[#This Row],[Date]],SW_LU[],3,TRUE)</f>
        <v>92</v>
      </c>
    </row>
    <row r="163" spans="1:12" x14ac:dyDescent="0.3">
      <c r="A163" s="10">
        <v>45909</v>
      </c>
      <c r="B163" s="26">
        <v>409</v>
      </c>
      <c r="C163" s="26">
        <v>174</v>
      </c>
      <c r="D163" s="26">
        <v>161.26</v>
      </c>
      <c r="E163" s="26">
        <v>235.65</v>
      </c>
      <c r="F163" s="26">
        <v>12.42</v>
      </c>
      <c r="G163" s="26">
        <v>62.03</v>
      </c>
      <c r="H163" s="26">
        <v>99.23</v>
      </c>
      <c r="I163" s="26">
        <v>0</v>
      </c>
      <c r="J163" s="26">
        <v>12.42</v>
      </c>
      <c r="K163" s="26">
        <v>0</v>
      </c>
      <c r="L163" s="1">
        <f>VLOOKUP(Table2[[#This Row],[Date]],SW_LU[],3,TRUE)</f>
        <v>92</v>
      </c>
    </row>
    <row r="164" spans="1:12" x14ac:dyDescent="0.3">
      <c r="A164" s="10">
        <v>45910</v>
      </c>
      <c r="B164" s="26">
        <v>395</v>
      </c>
      <c r="C164" s="26">
        <v>167</v>
      </c>
      <c r="D164" s="26">
        <v>155.44999999999999</v>
      </c>
      <c r="E164" s="26">
        <v>227.16</v>
      </c>
      <c r="F164" s="26">
        <v>11.97</v>
      </c>
      <c r="G164" s="26">
        <v>59.8</v>
      </c>
      <c r="H164" s="26">
        <v>95.65</v>
      </c>
      <c r="I164" s="26">
        <v>0</v>
      </c>
      <c r="J164" s="26">
        <v>11.97</v>
      </c>
      <c r="K164" s="26">
        <v>0</v>
      </c>
      <c r="L164" s="1">
        <f>VLOOKUP(Table2[[#This Row],[Date]],SW_LU[],3,TRUE)</f>
        <v>92</v>
      </c>
    </row>
    <row r="165" spans="1:12" x14ac:dyDescent="0.3">
      <c r="A165" s="10">
        <v>45911</v>
      </c>
      <c r="B165" s="26">
        <v>518</v>
      </c>
      <c r="C165" s="26">
        <v>220</v>
      </c>
      <c r="D165" s="26">
        <v>204.13</v>
      </c>
      <c r="E165" s="26">
        <v>298.3</v>
      </c>
      <c r="F165" s="26">
        <v>15.72</v>
      </c>
      <c r="G165" s="26">
        <v>78.52</v>
      </c>
      <c r="H165" s="26">
        <v>125.61</v>
      </c>
      <c r="I165" s="26">
        <v>0</v>
      </c>
      <c r="J165" s="26">
        <v>15.72</v>
      </c>
      <c r="K165" s="26">
        <v>0</v>
      </c>
      <c r="L165" s="1">
        <f>VLOOKUP(Table2[[#This Row],[Date]],SW_LU[],3,TRUE)</f>
        <v>93</v>
      </c>
    </row>
    <row r="166" spans="1:12" x14ac:dyDescent="0.3">
      <c r="A166" s="10">
        <v>45912</v>
      </c>
      <c r="B166" s="26">
        <v>945</v>
      </c>
      <c r="C166" s="26">
        <v>401</v>
      </c>
      <c r="D166" s="26">
        <v>372.3</v>
      </c>
      <c r="E166" s="26">
        <v>544.04999999999995</v>
      </c>
      <c r="F166" s="26">
        <v>28.67</v>
      </c>
      <c r="G166" s="26">
        <v>143.21</v>
      </c>
      <c r="H166" s="26">
        <v>229.09</v>
      </c>
      <c r="I166" s="26">
        <v>0</v>
      </c>
      <c r="J166" s="26">
        <v>28.67</v>
      </c>
      <c r="K166" s="26">
        <v>0</v>
      </c>
      <c r="L166" s="1">
        <f>VLOOKUP(Table2[[#This Row],[Date]],SW_LU[],3,TRUE)</f>
        <v>93</v>
      </c>
    </row>
    <row r="167" spans="1:12" x14ac:dyDescent="0.3">
      <c r="A167" s="10">
        <v>45913</v>
      </c>
      <c r="B167" s="26">
        <v>871</v>
      </c>
      <c r="C167" s="26">
        <v>369</v>
      </c>
      <c r="D167" s="26">
        <v>342.98</v>
      </c>
      <c r="E167" s="26">
        <v>501.21</v>
      </c>
      <c r="F167" s="26">
        <v>26.41</v>
      </c>
      <c r="G167" s="26">
        <v>131.94</v>
      </c>
      <c r="H167" s="26">
        <v>211.05</v>
      </c>
      <c r="I167" s="26">
        <v>0</v>
      </c>
      <c r="J167" s="26">
        <v>26.41</v>
      </c>
      <c r="K167" s="26">
        <v>0</v>
      </c>
      <c r="L167" s="1">
        <f>VLOOKUP(Table2[[#This Row],[Date]],SW_LU[],3,TRUE)</f>
        <v>93</v>
      </c>
    </row>
    <row r="168" spans="1:12" x14ac:dyDescent="0.3">
      <c r="A168" s="10">
        <v>45914</v>
      </c>
      <c r="B168" s="26">
        <v>496</v>
      </c>
      <c r="C168" s="26">
        <v>210</v>
      </c>
      <c r="D168" s="26">
        <v>195.28</v>
      </c>
      <c r="E168" s="26">
        <v>285.37</v>
      </c>
      <c r="F168" s="26">
        <v>15.04</v>
      </c>
      <c r="G168" s="26">
        <v>75.12</v>
      </c>
      <c r="H168" s="26">
        <v>120.16</v>
      </c>
      <c r="I168" s="26">
        <v>0</v>
      </c>
      <c r="J168" s="26">
        <v>15.04</v>
      </c>
      <c r="K168" s="26">
        <v>0</v>
      </c>
      <c r="L168" s="1">
        <f>VLOOKUP(Table2[[#This Row],[Date]],SW_LU[],3,TRUE)</f>
        <v>93</v>
      </c>
    </row>
    <row r="169" spans="1:12" x14ac:dyDescent="0.3">
      <c r="A169" s="10">
        <v>45915</v>
      </c>
      <c r="B169" s="26">
        <v>238</v>
      </c>
      <c r="C169" s="26">
        <v>101</v>
      </c>
      <c r="D169" s="26">
        <v>93.77</v>
      </c>
      <c r="E169" s="26">
        <v>137.02000000000001</v>
      </c>
      <c r="F169" s="26">
        <v>7.22</v>
      </c>
      <c r="G169" s="26">
        <v>36.07</v>
      </c>
      <c r="H169" s="26">
        <v>57.7</v>
      </c>
      <c r="I169" s="26">
        <v>0</v>
      </c>
      <c r="J169" s="26">
        <v>7.22</v>
      </c>
      <c r="K169" s="26">
        <v>0</v>
      </c>
      <c r="L169" s="1">
        <f>VLOOKUP(Table2[[#This Row],[Date]],SW_LU[],3,TRUE)</f>
        <v>93</v>
      </c>
    </row>
    <row r="170" spans="1:12" x14ac:dyDescent="0.3">
      <c r="A170" s="10">
        <v>45916</v>
      </c>
      <c r="B170" s="26">
        <v>248</v>
      </c>
      <c r="C170" s="26">
        <v>105</v>
      </c>
      <c r="D170" s="26">
        <v>97.64</v>
      </c>
      <c r="E170" s="26">
        <v>142.68</v>
      </c>
      <c r="F170" s="26">
        <v>7.52</v>
      </c>
      <c r="G170" s="26">
        <v>37.56</v>
      </c>
      <c r="H170" s="26">
        <v>60.08</v>
      </c>
      <c r="I170" s="26">
        <v>0</v>
      </c>
      <c r="J170" s="26">
        <v>7.52</v>
      </c>
      <c r="K170" s="26">
        <v>0</v>
      </c>
      <c r="L170" s="1">
        <f>VLOOKUP(Table2[[#This Row],[Date]],SW_LU[],3,TRUE)</f>
        <v>93</v>
      </c>
    </row>
    <row r="171" spans="1:12" x14ac:dyDescent="0.3">
      <c r="A171" s="10">
        <v>45917</v>
      </c>
      <c r="B171" s="26">
        <v>203</v>
      </c>
      <c r="C171" s="26">
        <v>86</v>
      </c>
      <c r="D171" s="26">
        <v>79.94</v>
      </c>
      <c r="E171" s="26">
        <v>116.81</v>
      </c>
      <c r="F171" s="26">
        <v>6.16</v>
      </c>
      <c r="G171" s="26">
        <v>30.75</v>
      </c>
      <c r="H171" s="26">
        <v>49.19</v>
      </c>
      <c r="I171" s="26">
        <v>0</v>
      </c>
      <c r="J171" s="26">
        <v>6.16</v>
      </c>
      <c r="K171" s="26">
        <v>0</v>
      </c>
      <c r="L171" s="1">
        <f>VLOOKUP(Table2[[#This Row],[Date]],SW_LU[],3,TRUE)</f>
        <v>93</v>
      </c>
    </row>
    <row r="172" spans="1:12" x14ac:dyDescent="0.3">
      <c r="A172" s="10">
        <v>45918</v>
      </c>
      <c r="B172" s="26">
        <v>121</v>
      </c>
      <c r="C172" s="26">
        <v>51</v>
      </c>
      <c r="D172" s="26">
        <v>47.58</v>
      </c>
      <c r="E172" s="26">
        <v>69.52</v>
      </c>
      <c r="F172" s="26">
        <v>3.66</v>
      </c>
      <c r="G172" s="26">
        <v>18.3</v>
      </c>
      <c r="H172" s="26">
        <v>29.27</v>
      </c>
      <c r="I172" s="26">
        <v>0</v>
      </c>
      <c r="J172" s="26">
        <v>3.66</v>
      </c>
      <c r="K172" s="26">
        <v>0</v>
      </c>
      <c r="L172" s="1">
        <f>VLOOKUP(Table2[[#This Row],[Date]],SW_LU[],3,TRUE)</f>
        <v>94</v>
      </c>
    </row>
    <row r="173" spans="1:12" x14ac:dyDescent="0.3">
      <c r="A173" s="10">
        <v>45919</v>
      </c>
      <c r="B173" s="26">
        <v>143</v>
      </c>
      <c r="C173" s="26">
        <v>60</v>
      </c>
      <c r="D173" s="26">
        <v>56.15</v>
      </c>
      <c r="E173" s="26">
        <v>82.05</v>
      </c>
      <c r="F173" s="26">
        <v>4.32</v>
      </c>
      <c r="G173" s="26">
        <v>21.6</v>
      </c>
      <c r="H173" s="26">
        <v>34.549999999999997</v>
      </c>
      <c r="I173" s="26">
        <v>0</v>
      </c>
      <c r="J173" s="26">
        <v>4.32</v>
      </c>
      <c r="K173" s="26">
        <v>0</v>
      </c>
      <c r="L173" s="1">
        <f>VLOOKUP(Table2[[#This Row],[Date]],SW_LU[],3,TRUE)</f>
        <v>94</v>
      </c>
    </row>
    <row r="174" spans="1:12" x14ac:dyDescent="0.3">
      <c r="A174" s="10">
        <v>45920</v>
      </c>
      <c r="B174" s="26">
        <v>79</v>
      </c>
      <c r="C174" s="26">
        <v>33</v>
      </c>
      <c r="D174" s="26">
        <v>30.98</v>
      </c>
      <c r="E174" s="26">
        <v>45.27</v>
      </c>
      <c r="F174" s="26">
        <v>2.39</v>
      </c>
      <c r="G174" s="26">
        <v>11.92</v>
      </c>
      <c r="H174" s="26">
        <v>19.059999999999999</v>
      </c>
      <c r="I174" s="26">
        <v>0</v>
      </c>
      <c r="J174" s="26">
        <v>2.39</v>
      </c>
      <c r="K174" s="26">
        <v>0</v>
      </c>
      <c r="L174" s="1">
        <f>VLOOKUP(Table2[[#This Row],[Date]],SW_LU[],3,TRUE)</f>
        <v>94</v>
      </c>
    </row>
    <row r="175" spans="1:12" x14ac:dyDescent="0.3">
      <c r="A175" s="10">
        <v>45921</v>
      </c>
      <c r="B175" s="26">
        <v>65</v>
      </c>
      <c r="C175" s="26">
        <v>27</v>
      </c>
      <c r="D175" s="26">
        <v>25.45</v>
      </c>
      <c r="E175" s="26">
        <v>37.19</v>
      </c>
      <c r="F175" s="26">
        <v>1.96</v>
      </c>
      <c r="G175" s="26">
        <v>9.7899999999999991</v>
      </c>
      <c r="H175" s="26">
        <v>15.66</v>
      </c>
      <c r="I175" s="26">
        <v>0</v>
      </c>
      <c r="J175" s="26">
        <v>1.96</v>
      </c>
      <c r="K175" s="26">
        <v>0</v>
      </c>
      <c r="L175" s="1">
        <f>VLOOKUP(Table2[[#This Row],[Date]],SW_LU[],3,TRUE)</f>
        <v>94</v>
      </c>
    </row>
    <row r="176" spans="1:12" x14ac:dyDescent="0.3">
      <c r="A176" s="10">
        <v>45922</v>
      </c>
      <c r="B176" s="26">
        <v>44</v>
      </c>
      <c r="C176" s="26">
        <v>19</v>
      </c>
      <c r="D176" s="26">
        <v>17.43</v>
      </c>
      <c r="E176" s="26">
        <v>25.46</v>
      </c>
      <c r="F176" s="26">
        <v>1.34</v>
      </c>
      <c r="G176" s="26">
        <v>6.7</v>
      </c>
      <c r="H176" s="26">
        <v>10.72</v>
      </c>
      <c r="I176" s="26">
        <v>0</v>
      </c>
      <c r="J176" s="26">
        <v>1.34</v>
      </c>
      <c r="K176" s="26">
        <v>0</v>
      </c>
      <c r="L176" s="1">
        <f>VLOOKUP(Table2[[#This Row],[Date]],SW_LU[],3,TRUE)</f>
        <v>94</v>
      </c>
    </row>
    <row r="177" spans="1:12" x14ac:dyDescent="0.3">
      <c r="A177" s="10">
        <v>45923</v>
      </c>
      <c r="B177" s="26">
        <v>29</v>
      </c>
      <c r="C177" s="26">
        <v>12</v>
      </c>
      <c r="D177" s="26">
        <v>11.34</v>
      </c>
      <c r="E177" s="26">
        <v>16.57</v>
      </c>
      <c r="F177" s="26">
        <v>0.87</v>
      </c>
      <c r="G177" s="26">
        <v>4.3600000000000003</v>
      </c>
      <c r="H177" s="26">
        <v>6.98</v>
      </c>
      <c r="I177" s="26">
        <v>0</v>
      </c>
      <c r="J177" s="26">
        <v>0.87</v>
      </c>
      <c r="K177" s="26">
        <v>0</v>
      </c>
      <c r="L177" s="1">
        <f>VLOOKUP(Table2[[#This Row],[Date]],SW_LU[],3,TRUE)</f>
        <v>94</v>
      </c>
    </row>
    <row r="178" spans="1:12" x14ac:dyDescent="0.3">
      <c r="A178" s="10">
        <v>45924</v>
      </c>
      <c r="B178" s="26">
        <v>37</v>
      </c>
      <c r="C178" s="26">
        <v>16</v>
      </c>
      <c r="D178" s="26">
        <v>14.66</v>
      </c>
      <c r="E178" s="26">
        <v>21.42</v>
      </c>
      <c r="F178" s="26">
        <v>1.1299999999999999</v>
      </c>
      <c r="G178" s="26">
        <v>5.64</v>
      </c>
      <c r="H178" s="26">
        <v>9.02</v>
      </c>
      <c r="I178" s="26">
        <v>0</v>
      </c>
      <c r="J178" s="26">
        <v>1.1299999999999999</v>
      </c>
      <c r="K178" s="26">
        <v>0</v>
      </c>
      <c r="L178" s="1">
        <f>VLOOKUP(Table2[[#This Row],[Date]],SW_LU[],3,TRUE)</f>
        <v>94</v>
      </c>
    </row>
    <row r="179" spans="1:12" x14ac:dyDescent="0.3">
      <c r="A179" s="10">
        <v>45925</v>
      </c>
      <c r="B179" s="26">
        <v>44</v>
      </c>
      <c r="C179" s="26">
        <v>18</v>
      </c>
      <c r="D179" s="26">
        <v>17.149999999999999</v>
      </c>
      <c r="E179" s="26">
        <v>25.06</v>
      </c>
      <c r="F179" s="26">
        <v>1.32</v>
      </c>
      <c r="G179" s="26">
        <v>6.6</v>
      </c>
      <c r="H179" s="26">
        <v>10.55</v>
      </c>
      <c r="I179" s="26">
        <v>0</v>
      </c>
      <c r="J179" s="26">
        <v>1.32</v>
      </c>
      <c r="K179" s="26">
        <v>0</v>
      </c>
      <c r="L179">
        <f>VLOOKUP(Table2[[#This Row],[Date]],SW_LU[],3,TRUE)</f>
        <v>101</v>
      </c>
    </row>
    <row r="180" spans="1:12" x14ac:dyDescent="0.3">
      <c r="A180" s="10">
        <v>45926</v>
      </c>
      <c r="B180" s="26">
        <v>32</v>
      </c>
      <c r="C180" s="26">
        <v>13</v>
      </c>
      <c r="D180" s="26">
        <v>12.45</v>
      </c>
      <c r="E180" s="26">
        <v>18.190000000000001</v>
      </c>
      <c r="F180" s="26">
        <v>0.96</v>
      </c>
      <c r="G180" s="26">
        <v>4.79</v>
      </c>
      <c r="H180" s="26">
        <v>7.66</v>
      </c>
      <c r="I180" s="26">
        <v>0</v>
      </c>
      <c r="J180" s="26">
        <v>0.96</v>
      </c>
      <c r="K180" s="26">
        <v>0</v>
      </c>
      <c r="L180">
        <f>VLOOKUP(Table2[[#This Row],[Date]],SW_LU[],3,TRUE)</f>
        <v>101</v>
      </c>
    </row>
    <row r="181" spans="1:12" x14ac:dyDescent="0.3">
      <c r="A181" s="10">
        <v>45927</v>
      </c>
      <c r="B181" s="26">
        <v>55</v>
      </c>
      <c r="C181" s="26">
        <v>23</v>
      </c>
      <c r="D181" s="26">
        <v>21.57</v>
      </c>
      <c r="E181" s="26">
        <v>31.53</v>
      </c>
      <c r="F181" s="26">
        <v>1.66</v>
      </c>
      <c r="G181" s="26">
        <v>8.3000000000000007</v>
      </c>
      <c r="H181" s="26">
        <v>13.28</v>
      </c>
      <c r="I181" s="26">
        <v>0</v>
      </c>
      <c r="J181" s="26">
        <v>1.66</v>
      </c>
      <c r="K181" s="26">
        <v>0</v>
      </c>
      <c r="L181">
        <f>VLOOKUP(Table2[[#This Row],[Date]],SW_LU[],3,TRUE)</f>
        <v>101</v>
      </c>
    </row>
    <row r="182" spans="1:12" x14ac:dyDescent="0.3">
      <c r="A182" s="10">
        <v>45928</v>
      </c>
      <c r="B182" s="26">
        <v>34</v>
      </c>
      <c r="C182" s="26">
        <v>15</v>
      </c>
      <c r="D182" s="26">
        <v>13.55</v>
      </c>
      <c r="E182" s="26">
        <v>19.809999999999999</v>
      </c>
      <c r="F182" s="26">
        <v>1.04</v>
      </c>
      <c r="G182" s="26">
        <v>5.21</v>
      </c>
      <c r="H182" s="26">
        <v>8.34</v>
      </c>
      <c r="I182" s="26">
        <v>0</v>
      </c>
      <c r="J182" s="26">
        <v>1.04</v>
      </c>
      <c r="K182" s="26">
        <v>0</v>
      </c>
      <c r="L182">
        <f>VLOOKUP(Table2[[#This Row],[Date]],SW_LU[],3,TRUE)</f>
        <v>101</v>
      </c>
    </row>
    <row r="183" spans="1:12" x14ac:dyDescent="0.3">
      <c r="A183" s="10">
        <v>45929</v>
      </c>
      <c r="B183" s="26">
        <v>93</v>
      </c>
      <c r="C183" s="26">
        <v>40</v>
      </c>
      <c r="D183" s="26">
        <v>36.79</v>
      </c>
      <c r="E183" s="26">
        <v>53.76</v>
      </c>
      <c r="F183" s="26">
        <v>2.83</v>
      </c>
      <c r="G183" s="26">
        <v>14.15</v>
      </c>
      <c r="H183" s="26">
        <v>22.64</v>
      </c>
      <c r="I183" s="26">
        <v>0</v>
      </c>
      <c r="J183" s="26">
        <v>2.83</v>
      </c>
      <c r="K183" s="26">
        <v>0</v>
      </c>
      <c r="L183">
        <f>VLOOKUP(Table2[[#This Row],[Date]],SW_LU[],3,TRUE)</f>
        <v>101</v>
      </c>
    </row>
    <row r="184" spans="1:12" x14ac:dyDescent="0.3">
      <c r="A184" s="10">
        <v>45930</v>
      </c>
      <c r="B184" s="26">
        <v>61</v>
      </c>
      <c r="C184" s="26">
        <v>26</v>
      </c>
      <c r="D184" s="26">
        <v>24.06</v>
      </c>
      <c r="E184" s="26">
        <v>35.17</v>
      </c>
      <c r="F184" s="26">
        <v>1.85</v>
      </c>
      <c r="G184" s="26">
        <v>9.26</v>
      </c>
      <c r="H184" s="26">
        <v>14.81</v>
      </c>
      <c r="I184" s="26">
        <v>0</v>
      </c>
      <c r="J184" s="26">
        <v>1.85</v>
      </c>
      <c r="K184" s="26">
        <v>0</v>
      </c>
      <c r="L184">
        <f>VLOOKUP(Table2[[#This Row],[Date]],SW_LU[],3,TRUE)</f>
        <v>101</v>
      </c>
    </row>
    <row r="185" spans="1:12" x14ac:dyDescent="0.3">
      <c r="A185" s="10">
        <v>45931</v>
      </c>
      <c r="B185" s="26">
        <v>80</v>
      </c>
      <c r="C185" s="26">
        <v>34</v>
      </c>
      <c r="D185" s="26">
        <v>31.53</v>
      </c>
      <c r="E185" s="26">
        <v>46.08</v>
      </c>
      <c r="F185" s="26">
        <v>2.4300000000000002</v>
      </c>
      <c r="G185" s="26">
        <v>12.13</v>
      </c>
      <c r="H185" s="26">
        <v>19.399999999999999</v>
      </c>
      <c r="I185" s="26">
        <v>0</v>
      </c>
      <c r="J185" s="26">
        <v>2.4300000000000002</v>
      </c>
      <c r="K185" s="26">
        <v>0</v>
      </c>
      <c r="L185">
        <f>VLOOKUP(Table2[[#This Row],[Date]],SW_LU[],3,TRUE)</f>
        <v>101</v>
      </c>
    </row>
    <row r="186" spans="1:12" x14ac:dyDescent="0.3">
      <c r="A186" s="10">
        <v>45932</v>
      </c>
      <c r="B186" s="26">
        <v>10</v>
      </c>
      <c r="C186" s="26">
        <v>4</v>
      </c>
      <c r="D186" s="26">
        <v>3.87</v>
      </c>
      <c r="E186" s="26">
        <v>5.66</v>
      </c>
      <c r="F186" s="26">
        <v>0.3</v>
      </c>
      <c r="G186" s="26">
        <v>1.49</v>
      </c>
      <c r="H186" s="26">
        <v>2.38</v>
      </c>
      <c r="I186" s="26">
        <v>0</v>
      </c>
      <c r="J186" s="26">
        <v>0.3</v>
      </c>
      <c r="K186" s="26">
        <v>0</v>
      </c>
      <c r="L186">
        <f>VLOOKUP(Table2[[#This Row],[Date]],SW_LU[],3,TRUE)</f>
        <v>102</v>
      </c>
    </row>
    <row r="187" spans="1:12" x14ac:dyDescent="0.3">
      <c r="A187" s="10">
        <v>45933</v>
      </c>
      <c r="B187" s="26">
        <v>50</v>
      </c>
      <c r="C187" s="26">
        <v>21</v>
      </c>
      <c r="D187" s="26">
        <v>19.64</v>
      </c>
      <c r="E187" s="26">
        <v>28.7</v>
      </c>
      <c r="F187" s="26">
        <v>1.51</v>
      </c>
      <c r="G187" s="26">
        <v>7.55</v>
      </c>
      <c r="H187" s="26">
        <v>12.08</v>
      </c>
      <c r="I187" s="26">
        <v>0</v>
      </c>
      <c r="J187" s="26">
        <v>1.51</v>
      </c>
      <c r="K187" s="26">
        <v>0</v>
      </c>
      <c r="L187">
        <f>VLOOKUP(Table2[[#This Row],[Date]],SW_LU[],3,TRUE)</f>
        <v>102</v>
      </c>
    </row>
    <row r="188" spans="1:12" x14ac:dyDescent="0.3">
      <c r="A188" s="10">
        <v>45934</v>
      </c>
      <c r="B188" s="26">
        <v>55</v>
      </c>
      <c r="C188" s="26">
        <v>23</v>
      </c>
      <c r="D188" s="26">
        <v>21.57</v>
      </c>
      <c r="E188" s="26">
        <v>31.53</v>
      </c>
      <c r="F188" s="26">
        <v>1.66</v>
      </c>
      <c r="G188" s="26">
        <v>8.3000000000000007</v>
      </c>
      <c r="H188" s="26">
        <v>13.28</v>
      </c>
      <c r="I188" s="26">
        <v>0</v>
      </c>
      <c r="J188" s="26">
        <v>1.66</v>
      </c>
      <c r="K188" s="26">
        <v>0</v>
      </c>
      <c r="L188">
        <f>VLOOKUP(Table2[[#This Row],[Date]],SW_LU[],3,TRUE)</f>
        <v>102</v>
      </c>
    </row>
    <row r="189" spans="1:12" x14ac:dyDescent="0.3">
      <c r="A189" s="10">
        <v>45935</v>
      </c>
      <c r="B189" s="26">
        <v>52</v>
      </c>
      <c r="C189" s="26">
        <v>22</v>
      </c>
      <c r="D189" s="26">
        <v>20.47</v>
      </c>
      <c r="E189" s="26">
        <v>29.91</v>
      </c>
      <c r="F189" s="26">
        <v>1.58</v>
      </c>
      <c r="G189" s="26">
        <v>7.87</v>
      </c>
      <c r="H189" s="26">
        <v>12.59</v>
      </c>
      <c r="I189" s="26">
        <v>0</v>
      </c>
      <c r="J189" s="26">
        <v>1.58</v>
      </c>
      <c r="K189" s="26">
        <v>0</v>
      </c>
      <c r="L189">
        <f>VLOOKUP(Table2[[#This Row],[Date]],SW_LU[],3,TRUE)</f>
        <v>102</v>
      </c>
    </row>
    <row r="190" spans="1:12" x14ac:dyDescent="0.3">
      <c r="A190" s="10">
        <v>45936</v>
      </c>
      <c r="B190" s="26">
        <v>19</v>
      </c>
      <c r="C190" s="26">
        <v>8</v>
      </c>
      <c r="D190" s="26">
        <v>7.47</v>
      </c>
      <c r="E190" s="26">
        <v>10.91</v>
      </c>
      <c r="F190" s="26">
        <v>0.57999999999999996</v>
      </c>
      <c r="G190" s="26">
        <v>2.87</v>
      </c>
      <c r="H190" s="26">
        <v>4.5999999999999996</v>
      </c>
      <c r="I190" s="26">
        <v>0</v>
      </c>
      <c r="J190" s="26">
        <v>0.57999999999999996</v>
      </c>
      <c r="K190" s="26">
        <v>0</v>
      </c>
      <c r="L190">
        <f>VLOOKUP(Table2[[#This Row],[Date]],SW_LU[],3,TRUE)</f>
        <v>102</v>
      </c>
    </row>
    <row r="191" spans="1:12" x14ac:dyDescent="0.3">
      <c r="A191" s="10">
        <v>45937</v>
      </c>
      <c r="B191" s="26">
        <v>15</v>
      </c>
      <c r="C191" s="26">
        <v>6</v>
      </c>
      <c r="D191" s="26">
        <v>5.81</v>
      </c>
      <c r="E191" s="26">
        <v>8.49</v>
      </c>
      <c r="F191" s="26">
        <v>0.45</v>
      </c>
      <c r="G191" s="26">
        <v>2.23</v>
      </c>
      <c r="H191" s="26">
        <v>3.57</v>
      </c>
      <c r="I191" s="26">
        <v>0</v>
      </c>
      <c r="J191" s="26">
        <v>0.45</v>
      </c>
      <c r="K191" s="26">
        <v>0</v>
      </c>
      <c r="L191">
        <f>VLOOKUP(Table2[[#This Row],[Date]],SW_LU[],3,TRUE)</f>
        <v>102</v>
      </c>
    </row>
    <row r="192" spans="1:12" x14ac:dyDescent="0.3">
      <c r="A192" s="10">
        <v>45938</v>
      </c>
      <c r="B192" s="26">
        <v>22</v>
      </c>
      <c r="C192" s="26">
        <v>9</v>
      </c>
      <c r="D192" s="26">
        <v>8.57</v>
      </c>
      <c r="E192" s="26">
        <v>12.53</v>
      </c>
      <c r="F192" s="26">
        <v>0.66</v>
      </c>
      <c r="G192" s="26">
        <v>3.3</v>
      </c>
      <c r="H192" s="26">
        <v>5.28</v>
      </c>
      <c r="I192" s="26">
        <v>0</v>
      </c>
      <c r="J192" s="26">
        <v>0.66</v>
      </c>
      <c r="K192" s="26">
        <v>0</v>
      </c>
      <c r="L192">
        <f>VLOOKUP(Table2[[#This Row],[Date]],SW_LU[],3,TRUE)</f>
        <v>102</v>
      </c>
    </row>
    <row r="193" spans="1:12" x14ac:dyDescent="0.3">
      <c r="A193" s="10">
        <v>45939</v>
      </c>
      <c r="B193" s="26">
        <v>15</v>
      </c>
      <c r="C193" s="26">
        <v>6</v>
      </c>
      <c r="D193" s="26">
        <v>5.81</v>
      </c>
      <c r="E193" s="26">
        <v>8.49</v>
      </c>
      <c r="F193" s="26">
        <v>0.45</v>
      </c>
      <c r="G193" s="26">
        <v>2.23</v>
      </c>
      <c r="H193" s="26">
        <v>3.57</v>
      </c>
      <c r="I193" s="26">
        <v>0</v>
      </c>
      <c r="J193" s="26">
        <v>0.45</v>
      </c>
      <c r="K193" s="26">
        <v>0</v>
      </c>
      <c r="L193">
        <f>VLOOKUP(Table2[[#This Row],[Date]],SW_LU[],3,TRUE)</f>
        <v>103</v>
      </c>
    </row>
    <row r="194" spans="1:12" x14ac:dyDescent="0.3">
      <c r="A194" s="10">
        <v>45940</v>
      </c>
      <c r="B194" s="26">
        <v>4</v>
      </c>
      <c r="C194" s="26">
        <v>2</v>
      </c>
      <c r="D194" s="26">
        <v>1.66</v>
      </c>
      <c r="E194" s="26">
        <v>2.4300000000000002</v>
      </c>
      <c r="F194" s="26">
        <v>0.13</v>
      </c>
      <c r="G194" s="26">
        <v>0.64</v>
      </c>
      <c r="H194" s="26">
        <v>1.02</v>
      </c>
      <c r="I194" s="26">
        <v>0</v>
      </c>
      <c r="J194" s="26">
        <v>0.13</v>
      </c>
      <c r="K194" s="26">
        <v>0</v>
      </c>
      <c r="L194">
        <f>VLOOKUP(Table2[[#This Row],[Date]],SW_LU[],3,TRUE)</f>
        <v>103</v>
      </c>
    </row>
    <row r="195" spans="1:12" x14ac:dyDescent="0.3">
      <c r="A195" s="10">
        <v>45941</v>
      </c>
      <c r="B195" s="26">
        <v>10</v>
      </c>
      <c r="C195" s="26">
        <v>4</v>
      </c>
      <c r="D195" s="26">
        <v>3.87</v>
      </c>
      <c r="E195" s="26">
        <v>5.66</v>
      </c>
      <c r="F195" s="26">
        <v>0.3</v>
      </c>
      <c r="G195" s="26">
        <v>1.49</v>
      </c>
      <c r="H195" s="26">
        <v>2.38</v>
      </c>
      <c r="I195" s="26">
        <v>0</v>
      </c>
      <c r="J195" s="26">
        <v>0.3</v>
      </c>
      <c r="K195" s="26">
        <v>0</v>
      </c>
      <c r="L195">
        <f>VLOOKUP(Table2[[#This Row],[Date]],SW_LU[],3,TRUE)</f>
        <v>103</v>
      </c>
    </row>
    <row r="196" spans="1:12" x14ac:dyDescent="0.3">
      <c r="A196" s="10">
        <v>45942</v>
      </c>
      <c r="B196" s="26">
        <v>11</v>
      </c>
      <c r="C196" s="26">
        <v>4</v>
      </c>
      <c r="D196" s="26">
        <v>4.1500000000000004</v>
      </c>
      <c r="E196" s="26">
        <v>6.06</v>
      </c>
      <c r="F196" s="26">
        <v>0.32</v>
      </c>
      <c r="G196" s="26">
        <v>1.6</v>
      </c>
      <c r="H196" s="26">
        <v>2.5499999999999998</v>
      </c>
      <c r="I196" s="26">
        <v>0</v>
      </c>
      <c r="J196" s="26">
        <v>0.32</v>
      </c>
      <c r="K196" s="26">
        <v>0</v>
      </c>
      <c r="L196">
        <f>VLOOKUP(Table2[[#This Row],[Date]],SW_LU[],3,TRUE)</f>
        <v>103</v>
      </c>
    </row>
    <row r="197" spans="1:12" x14ac:dyDescent="0.3">
      <c r="A197" s="10">
        <v>45943</v>
      </c>
      <c r="B197" s="26">
        <v>1</v>
      </c>
      <c r="C197" s="26">
        <v>1</v>
      </c>
      <c r="D197" s="26">
        <v>0.55000000000000004</v>
      </c>
      <c r="E197" s="26">
        <v>0.81</v>
      </c>
      <c r="F197" s="26">
        <v>0.04</v>
      </c>
      <c r="G197" s="26">
        <v>0.21</v>
      </c>
      <c r="H197" s="26">
        <v>0.34</v>
      </c>
      <c r="I197" s="26">
        <v>0</v>
      </c>
      <c r="J197" s="26">
        <v>0.04</v>
      </c>
      <c r="K197" s="26">
        <v>0</v>
      </c>
      <c r="L197">
        <f>VLOOKUP(Table2[[#This Row],[Date]],SW_LU[],3,TRUE)</f>
        <v>103</v>
      </c>
    </row>
    <row r="198" spans="1:12" x14ac:dyDescent="0.3">
      <c r="A198" s="10">
        <v>45944</v>
      </c>
      <c r="B198" s="26">
        <v>4</v>
      </c>
      <c r="C198" s="26">
        <v>1</v>
      </c>
      <c r="D198" s="26">
        <v>1.38</v>
      </c>
      <c r="E198" s="26">
        <v>2.02</v>
      </c>
      <c r="F198" s="26">
        <v>0.11</v>
      </c>
      <c r="G198" s="26">
        <v>0.53</v>
      </c>
      <c r="H198" s="26">
        <v>0.85</v>
      </c>
      <c r="I198" s="26">
        <v>0</v>
      </c>
      <c r="J198" s="26">
        <v>0.11</v>
      </c>
      <c r="K198" s="26">
        <v>0</v>
      </c>
      <c r="L198">
        <f>VLOOKUP(Table2[[#This Row],[Date]],SW_LU[],3,TRUE)</f>
        <v>103</v>
      </c>
    </row>
    <row r="199" spans="1:12" x14ac:dyDescent="0.3">
      <c r="A199" s="10">
        <v>45945</v>
      </c>
      <c r="B199" s="26">
        <v>1</v>
      </c>
      <c r="C199" s="26">
        <v>1</v>
      </c>
      <c r="D199" s="26">
        <v>0.55000000000000004</v>
      </c>
      <c r="E199" s="26">
        <v>0.81</v>
      </c>
      <c r="F199" s="26">
        <v>0.04</v>
      </c>
      <c r="G199" s="26">
        <v>0.21</v>
      </c>
      <c r="H199" s="26">
        <v>0.34</v>
      </c>
      <c r="I199" s="26">
        <v>0</v>
      </c>
      <c r="J199" s="26">
        <v>0.04</v>
      </c>
      <c r="K199" s="26">
        <v>0</v>
      </c>
      <c r="L199">
        <f>VLOOKUP(Table2[[#This Row],[Date]],SW_LU[],3,TRUE)</f>
        <v>103</v>
      </c>
    </row>
    <row r="200" spans="1:12" x14ac:dyDescent="0.3">
      <c r="A200" s="10">
        <v>45946</v>
      </c>
      <c r="B200" s="26">
        <v>4</v>
      </c>
      <c r="C200" s="26">
        <v>1</v>
      </c>
      <c r="D200" s="26">
        <v>1.38</v>
      </c>
      <c r="E200" s="26">
        <v>2.02</v>
      </c>
      <c r="F200" s="26">
        <v>0.11</v>
      </c>
      <c r="G200" s="26">
        <v>0.53</v>
      </c>
      <c r="H200" s="26">
        <v>0.85</v>
      </c>
      <c r="I200" s="26">
        <v>0</v>
      </c>
      <c r="J200" s="26">
        <v>0.11</v>
      </c>
      <c r="K200" s="26">
        <v>0</v>
      </c>
      <c r="L200">
        <f>VLOOKUP(Table2[[#This Row],[Date]],SW_LU[],3,TRUE)</f>
        <v>104</v>
      </c>
    </row>
    <row r="201" spans="1:12" x14ac:dyDescent="0.3">
      <c r="A201" s="10">
        <v>45947</v>
      </c>
      <c r="B201" s="26">
        <v>7</v>
      </c>
      <c r="C201" s="26">
        <v>3</v>
      </c>
      <c r="D201" s="26">
        <v>2.77</v>
      </c>
      <c r="E201" s="26">
        <v>4.04</v>
      </c>
      <c r="F201" s="26">
        <v>0.21</v>
      </c>
      <c r="G201" s="26">
        <v>1.06</v>
      </c>
      <c r="H201" s="26">
        <v>1.7</v>
      </c>
      <c r="I201" s="26">
        <v>0</v>
      </c>
      <c r="J201" s="26">
        <v>0.21</v>
      </c>
      <c r="K201" s="26">
        <v>0</v>
      </c>
      <c r="L201">
        <f>VLOOKUP(Table2[[#This Row],[Date]],SW_LU[],3,TRUE)</f>
        <v>104</v>
      </c>
    </row>
    <row r="202" spans="1:12" x14ac:dyDescent="0.3">
      <c r="A202" s="10">
        <v>45948</v>
      </c>
      <c r="B202" s="26">
        <v>4</v>
      </c>
      <c r="C202" s="26">
        <v>2</v>
      </c>
      <c r="D202" s="26">
        <v>1.66</v>
      </c>
      <c r="E202" s="26">
        <v>2.4300000000000002</v>
      </c>
      <c r="F202" s="26">
        <v>0.13</v>
      </c>
      <c r="G202" s="26">
        <v>0.64</v>
      </c>
      <c r="H202" s="26">
        <v>1.02</v>
      </c>
      <c r="I202" s="26">
        <v>0</v>
      </c>
      <c r="J202" s="26">
        <v>0.13</v>
      </c>
      <c r="K202" s="26">
        <v>0</v>
      </c>
      <c r="L202">
        <f>VLOOKUP(Table2[[#This Row],[Date]],SW_LU[],3,TRUE)</f>
        <v>104</v>
      </c>
    </row>
    <row r="203" spans="1:12" x14ac:dyDescent="0.3">
      <c r="A203" s="10">
        <v>45949</v>
      </c>
      <c r="B203" s="26">
        <v>1</v>
      </c>
      <c r="C203" s="26">
        <v>1</v>
      </c>
      <c r="D203" s="26">
        <v>0.55000000000000004</v>
      </c>
      <c r="E203" s="26">
        <v>0.81</v>
      </c>
      <c r="F203" s="26">
        <v>0.04</v>
      </c>
      <c r="G203" s="26">
        <v>0.21</v>
      </c>
      <c r="H203" s="26">
        <v>0.34</v>
      </c>
      <c r="I203" s="26">
        <v>0</v>
      </c>
      <c r="J203" s="26">
        <v>0.04</v>
      </c>
      <c r="K203" s="26">
        <v>0</v>
      </c>
      <c r="L203">
        <f>VLOOKUP(Table2[[#This Row],[Date]],SW_LU[],3,TRUE)</f>
        <v>104</v>
      </c>
    </row>
    <row r="204" spans="1:12" x14ac:dyDescent="0.3">
      <c r="A204" s="10">
        <v>45950</v>
      </c>
      <c r="B204" s="26">
        <v>32</v>
      </c>
      <c r="C204" s="26">
        <v>13</v>
      </c>
      <c r="D204" s="26">
        <v>12.45</v>
      </c>
      <c r="E204" s="26">
        <v>18.190000000000001</v>
      </c>
      <c r="F204" s="26">
        <v>0.96</v>
      </c>
      <c r="G204" s="26">
        <v>4.79</v>
      </c>
      <c r="H204" s="26">
        <v>7.66</v>
      </c>
      <c r="I204" s="26">
        <v>0</v>
      </c>
      <c r="J204" s="26">
        <v>0.96</v>
      </c>
      <c r="K204" s="26">
        <v>0</v>
      </c>
      <c r="L204">
        <f>VLOOKUP(Table2[[#This Row],[Date]],SW_LU[],3,TRUE)</f>
        <v>104</v>
      </c>
    </row>
    <row r="205" spans="1:12" x14ac:dyDescent="0.3">
      <c r="A205" s="10">
        <v>45951</v>
      </c>
      <c r="B205" s="26">
        <v>11</v>
      </c>
      <c r="C205" s="26">
        <v>4</v>
      </c>
      <c r="D205" s="26">
        <v>4.1500000000000004</v>
      </c>
      <c r="E205" s="26">
        <v>6.06</v>
      </c>
      <c r="F205" s="26">
        <v>0.32</v>
      </c>
      <c r="G205" s="26">
        <v>1.6</v>
      </c>
      <c r="H205" s="26">
        <v>2.5499999999999998</v>
      </c>
      <c r="I205" s="26">
        <v>0</v>
      </c>
      <c r="J205" s="26">
        <v>0.32</v>
      </c>
      <c r="K205" s="26">
        <v>0</v>
      </c>
      <c r="L205">
        <f>VLOOKUP(Table2[[#This Row],[Date]],SW_LU[],3,TRUE)</f>
        <v>104</v>
      </c>
    </row>
    <row r="206" spans="1:12" x14ac:dyDescent="0.3">
      <c r="A206" s="10">
        <v>45952</v>
      </c>
      <c r="B206" s="26">
        <v>13</v>
      </c>
      <c r="C206" s="26">
        <v>6</v>
      </c>
      <c r="D206" s="26">
        <v>5.26</v>
      </c>
      <c r="E206" s="26">
        <v>7.68</v>
      </c>
      <c r="F206" s="26">
        <v>0.4</v>
      </c>
      <c r="G206" s="26">
        <v>2.02</v>
      </c>
      <c r="H206" s="26">
        <v>3.23</v>
      </c>
      <c r="I206" s="26">
        <v>0</v>
      </c>
      <c r="J206" s="26">
        <v>0.4</v>
      </c>
      <c r="K206" s="26">
        <v>0</v>
      </c>
      <c r="L206">
        <f>VLOOKUP(Table2[[#This Row],[Date]],SW_LU[],3,TRUE)</f>
        <v>104</v>
      </c>
    </row>
    <row r="207" spans="1:12" x14ac:dyDescent="0.3">
      <c r="A207" s="10">
        <v>45953</v>
      </c>
      <c r="B207" s="26">
        <v>5</v>
      </c>
      <c r="C207" s="26">
        <v>2</v>
      </c>
      <c r="D207" s="26">
        <v>1.94</v>
      </c>
      <c r="E207" s="26">
        <v>2.83</v>
      </c>
      <c r="F207" s="26">
        <v>0.15</v>
      </c>
      <c r="G207" s="26">
        <v>0.74</v>
      </c>
      <c r="H207" s="26">
        <v>1.19</v>
      </c>
      <c r="I207" s="26">
        <v>0</v>
      </c>
      <c r="J207" s="26">
        <v>0.15</v>
      </c>
      <c r="K207" s="26">
        <v>0</v>
      </c>
      <c r="L207">
        <f>VLOOKUP(Table2[[#This Row],[Date]],SW_LU[],3,TRUE)</f>
        <v>105</v>
      </c>
    </row>
    <row r="208" spans="1:12" x14ac:dyDescent="0.3">
      <c r="A208" s="10">
        <v>45954</v>
      </c>
      <c r="B208" s="26">
        <v>0</v>
      </c>
      <c r="C208" s="26">
        <v>0</v>
      </c>
      <c r="D208" s="26">
        <v>0</v>
      </c>
      <c r="E208" s="26">
        <v>0</v>
      </c>
      <c r="F208" s="26">
        <v>0</v>
      </c>
      <c r="G208" s="26">
        <v>0</v>
      </c>
      <c r="H208" s="26">
        <v>0</v>
      </c>
      <c r="I208" s="26">
        <v>0</v>
      </c>
      <c r="J208" s="26">
        <v>0</v>
      </c>
      <c r="K208" s="26">
        <v>0</v>
      </c>
      <c r="L208">
        <f>VLOOKUP(Table2[[#This Row],[Date]],SW_LU[],3,TRUE)</f>
        <v>105</v>
      </c>
    </row>
    <row r="209" spans="1:11" x14ac:dyDescent="0.3">
      <c r="A209" s="1"/>
      <c r="B209" s="17"/>
      <c r="C209" s="17"/>
      <c r="D209" s="18"/>
      <c r="E209" s="18"/>
      <c r="F209" s="18"/>
      <c r="G209" s="18"/>
      <c r="H209" s="18"/>
      <c r="I209" s="14"/>
      <c r="J209" s="18"/>
      <c r="K209" s="14"/>
    </row>
    <row r="210" spans="1:11" x14ac:dyDescent="0.3">
      <c r="A210" s="10"/>
      <c r="B210" s="1"/>
      <c r="C210" s="1"/>
      <c r="D210" s="1"/>
      <c r="E210" s="1"/>
      <c r="F210" s="1"/>
      <c r="G210" s="1"/>
      <c r="H210" s="1"/>
      <c r="I210" s="1"/>
      <c r="J210" s="1"/>
      <c r="K210" s="1"/>
    </row>
    <row r="211" spans="1:11" x14ac:dyDescent="0.3">
      <c r="A211" s="10"/>
      <c r="B211" s="1"/>
      <c r="C211" s="1"/>
      <c r="D211" s="1"/>
      <c r="E211" s="1"/>
      <c r="F211" s="1"/>
      <c r="G211" s="1"/>
      <c r="H211" s="1"/>
      <c r="I211" s="1"/>
      <c r="J211" s="1"/>
      <c r="K211" s="1"/>
    </row>
    <row r="212" spans="1:11" x14ac:dyDescent="0.3">
      <c r="A212" s="10"/>
      <c r="B212" s="1"/>
      <c r="C212" s="1"/>
      <c r="D212" s="1"/>
      <c r="E212" s="1"/>
      <c r="F212" s="1"/>
      <c r="G212" s="1"/>
      <c r="H212" s="1"/>
      <c r="I212" s="1"/>
      <c r="J212" s="1"/>
      <c r="K212" s="1"/>
    </row>
    <row r="213" spans="1:11" x14ac:dyDescent="0.3">
      <c r="A213" s="10"/>
      <c r="B213" s="1"/>
      <c r="C213" s="1"/>
      <c r="D213" s="1"/>
      <c r="E213" s="1"/>
      <c r="F213" s="1"/>
      <c r="G213" s="1"/>
      <c r="H213" s="1"/>
      <c r="I213" s="1"/>
      <c r="J213" s="1"/>
      <c r="K213" s="1"/>
    </row>
    <row r="214" spans="1:11" x14ac:dyDescent="0.3">
      <c r="A214" s="10"/>
      <c r="B214" s="1"/>
      <c r="C214" s="1"/>
      <c r="D214" s="1"/>
      <c r="E214" s="1"/>
      <c r="F214" s="1"/>
      <c r="G214" s="1"/>
      <c r="H214" s="1"/>
      <c r="I214" s="1"/>
      <c r="J214" s="1"/>
      <c r="K214" s="1"/>
    </row>
    <row r="215" spans="1:11" x14ac:dyDescent="0.3">
      <c r="A215" s="10"/>
      <c r="B215" s="1"/>
      <c r="C215" s="1"/>
      <c r="D215" s="1"/>
      <c r="E215" s="1"/>
      <c r="F215" s="1"/>
      <c r="G215" s="1"/>
      <c r="H215" s="1"/>
      <c r="I215" s="1"/>
      <c r="J215" s="1"/>
      <c r="K215" s="1"/>
    </row>
    <row r="216" spans="1:11" x14ac:dyDescent="0.3">
      <c r="A216" s="1"/>
      <c r="B216" s="15"/>
      <c r="C216" s="15"/>
      <c r="D216" s="16"/>
      <c r="E216" s="16"/>
      <c r="F216" s="16"/>
      <c r="G216" s="16"/>
      <c r="H216" s="16"/>
      <c r="I216" s="1"/>
      <c r="J216" s="16"/>
      <c r="K216" s="1"/>
    </row>
    <row r="217" spans="1:11" x14ac:dyDescent="0.3">
      <c r="A217" s="10"/>
      <c r="B217" s="1"/>
      <c r="C217" s="1"/>
      <c r="D217" s="1"/>
      <c r="E217" s="1"/>
      <c r="F217" s="1"/>
      <c r="G217" s="1"/>
      <c r="H217" s="1"/>
      <c r="I217" s="1"/>
      <c r="J217" s="1"/>
      <c r="K217" s="1"/>
    </row>
    <row r="218" spans="1:11" x14ac:dyDescent="0.3">
      <c r="A218" s="10"/>
      <c r="B218" s="1"/>
      <c r="C218" s="1"/>
      <c r="D218" s="1"/>
      <c r="E218" s="1"/>
      <c r="F218" s="1"/>
      <c r="G218" s="1"/>
      <c r="H218" s="1"/>
      <c r="I218" s="1"/>
      <c r="J218" s="1"/>
      <c r="K218" s="1"/>
    </row>
    <row r="219" spans="1:11" x14ac:dyDescent="0.3">
      <c r="A219" s="10"/>
      <c r="B219" s="1"/>
      <c r="C219" s="1"/>
      <c r="D219" s="1"/>
      <c r="E219" s="1"/>
      <c r="F219" s="1"/>
      <c r="G219" s="1"/>
      <c r="H219" s="1"/>
      <c r="I219" s="1"/>
      <c r="J219" s="1"/>
      <c r="K219" s="1"/>
    </row>
    <row r="220" spans="1:11" x14ac:dyDescent="0.3">
      <c r="A220" s="10"/>
      <c r="B220" s="1"/>
      <c r="C220" s="1"/>
      <c r="D220" s="1"/>
      <c r="E220" s="1"/>
      <c r="F220" s="1"/>
      <c r="G220" s="1"/>
      <c r="H220" s="1"/>
      <c r="I220" s="1"/>
      <c r="J220" s="1"/>
      <c r="K220" s="1"/>
    </row>
    <row r="221" spans="1:11" x14ac:dyDescent="0.3">
      <c r="A221" s="10"/>
      <c r="B221" s="1"/>
      <c r="C221" s="1"/>
      <c r="D221" s="1"/>
      <c r="E221" s="1"/>
      <c r="F221" s="1"/>
      <c r="G221" s="1"/>
      <c r="H221" s="1"/>
      <c r="I221" s="1"/>
      <c r="J221" s="1"/>
      <c r="K221" s="1"/>
    </row>
    <row r="222" spans="1:11" x14ac:dyDescent="0.3">
      <c r="A222" s="10"/>
      <c r="B222" s="1"/>
      <c r="C222" s="1"/>
      <c r="D222" s="1"/>
      <c r="E222" s="1"/>
      <c r="F222" s="1"/>
      <c r="G222" s="1"/>
      <c r="H222" s="1"/>
      <c r="I222" s="1"/>
      <c r="J222" s="1"/>
      <c r="K222" s="1"/>
    </row>
    <row r="223" spans="1:11" x14ac:dyDescent="0.3">
      <c r="A223" s="1"/>
      <c r="B223" s="15"/>
      <c r="C223" s="15"/>
      <c r="D223" s="16"/>
      <c r="E223" s="16"/>
      <c r="F223" s="16"/>
      <c r="G223" s="16"/>
      <c r="H223" s="16"/>
      <c r="I223" s="1"/>
      <c r="J223" s="16"/>
      <c r="K223" s="1"/>
    </row>
  </sheetData>
  <pageMargins left="0.7" right="0.7" top="0.75" bottom="0.75" header="0.3" footer="0.3"/>
  <pageSetup orientation="portrait" r:id="rId2"/>
  <headerFooter>
    <oddHeader>&amp;R&amp;"Calibri"&amp;12&amp;K000000 Unclassified - Non-Classifié&amp;1#_x000D_</oddHeader>
  </headerFooter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241"/>
  <sheetViews>
    <sheetView workbookViewId="0">
      <pane ySplit="1" topLeftCell="A210" activePane="bottomLeft" state="frozen"/>
      <selection pane="bottomLeft" activeCell="A2" sqref="A2:XFD8"/>
    </sheetView>
  </sheetViews>
  <sheetFormatPr defaultRowHeight="14.4" x14ac:dyDescent="0.3"/>
  <cols>
    <col min="1" max="1" width="14" style="8" customWidth="1"/>
    <col min="2" max="9" width="10.33203125" customWidth="1"/>
  </cols>
  <sheetData>
    <row r="1" spans="1:9" ht="29.25" customHeight="1" x14ac:dyDescent="0.3">
      <c r="A1" s="7" t="s">
        <v>2</v>
      </c>
      <c r="B1" s="4" t="s">
        <v>3</v>
      </c>
      <c r="C1" s="4" t="s">
        <v>4</v>
      </c>
      <c r="D1" s="4" t="s">
        <v>5</v>
      </c>
      <c r="E1" s="4" t="s">
        <v>6</v>
      </c>
      <c r="F1" s="4" t="s">
        <v>7</v>
      </c>
      <c r="G1" s="4" t="s">
        <v>8</v>
      </c>
      <c r="H1" s="4" t="s">
        <v>9</v>
      </c>
      <c r="I1" s="4" t="s">
        <v>10</v>
      </c>
    </row>
    <row r="2" spans="1:9" x14ac:dyDescent="0.3">
      <c r="A2" s="10">
        <v>45748</v>
      </c>
      <c r="B2" s="1">
        <v>0</v>
      </c>
      <c r="C2" s="1">
        <v>0</v>
      </c>
      <c r="D2" s="1">
        <v>0</v>
      </c>
      <c r="E2" s="1">
        <v>0</v>
      </c>
      <c r="F2" s="1">
        <v>0</v>
      </c>
      <c r="G2" s="1">
        <v>0</v>
      </c>
      <c r="H2" s="1">
        <v>1</v>
      </c>
      <c r="I2" s="1">
        <v>0</v>
      </c>
    </row>
    <row r="3" spans="1:9" x14ac:dyDescent="0.3">
      <c r="A3" s="10">
        <v>45749</v>
      </c>
      <c r="B3" s="1">
        <v>0</v>
      </c>
      <c r="C3" s="1">
        <v>0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</row>
    <row r="4" spans="1:9" x14ac:dyDescent="0.3">
      <c r="A4" s="10">
        <v>45750</v>
      </c>
      <c r="B4" s="1">
        <v>0</v>
      </c>
      <c r="C4" s="1">
        <v>0</v>
      </c>
      <c r="D4" s="1">
        <v>0</v>
      </c>
      <c r="E4" s="1">
        <v>0</v>
      </c>
      <c r="F4" s="1">
        <v>0</v>
      </c>
      <c r="G4" s="1">
        <v>0</v>
      </c>
      <c r="H4" s="1">
        <v>1</v>
      </c>
      <c r="I4" s="1">
        <v>1</v>
      </c>
    </row>
    <row r="5" spans="1:9" x14ac:dyDescent="0.3">
      <c r="A5" s="10">
        <v>45751</v>
      </c>
      <c r="B5" s="1">
        <v>0</v>
      </c>
      <c r="C5" s="1">
        <v>0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</row>
    <row r="6" spans="1:9" x14ac:dyDescent="0.3">
      <c r="A6" s="10">
        <v>45752</v>
      </c>
      <c r="B6" s="1">
        <v>0</v>
      </c>
      <c r="C6" s="1">
        <v>0</v>
      </c>
      <c r="D6" s="1">
        <v>0</v>
      </c>
      <c r="E6" s="1">
        <v>0</v>
      </c>
      <c r="F6" s="1">
        <v>0</v>
      </c>
      <c r="G6" s="1">
        <v>0</v>
      </c>
      <c r="H6" s="1">
        <v>1</v>
      </c>
      <c r="I6" s="1">
        <v>1</v>
      </c>
    </row>
    <row r="7" spans="1:9" x14ac:dyDescent="0.3">
      <c r="A7" s="10">
        <v>45753</v>
      </c>
      <c r="B7" s="1">
        <v>0</v>
      </c>
      <c r="C7" s="1">
        <v>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</row>
    <row r="8" spans="1:9" x14ac:dyDescent="0.3">
      <c r="A8" s="10">
        <v>45754</v>
      </c>
      <c r="B8" s="1">
        <v>0</v>
      </c>
      <c r="C8" s="1">
        <v>0</v>
      </c>
      <c r="D8" s="1">
        <v>0</v>
      </c>
      <c r="E8" s="1">
        <v>0</v>
      </c>
      <c r="F8" s="1">
        <v>0</v>
      </c>
      <c r="G8" s="1">
        <v>0</v>
      </c>
      <c r="H8" s="1">
        <v>1</v>
      </c>
      <c r="I8" s="1">
        <v>0</v>
      </c>
    </row>
    <row r="9" spans="1:9" x14ac:dyDescent="0.3">
      <c r="A9" s="10">
        <v>45755</v>
      </c>
      <c r="B9" s="1">
        <v>0</v>
      </c>
      <c r="C9" s="1">
        <v>0</v>
      </c>
      <c r="D9" s="1">
        <v>0</v>
      </c>
      <c r="E9" s="1">
        <v>0</v>
      </c>
      <c r="F9" s="1">
        <v>0</v>
      </c>
      <c r="G9" s="1">
        <v>0</v>
      </c>
      <c r="H9" s="1">
        <v>1</v>
      </c>
      <c r="I9" s="1">
        <v>0</v>
      </c>
    </row>
    <row r="10" spans="1:9" x14ac:dyDescent="0.3">
      <c r="A10" s="10">
        <v>45756</v>
      </c>
      <c r="B10" s="1">
        <v>0</v>
      </c>
      <c r="C10" s="1">
        <v>0</v>
      </c>
      <c r="D10" s="1">
        <v>0</v>
      </c>
      <c r="E10" s="1">
        <v>0</v>
      </c>
      <c r="F10" s="1">
        <v>0</v>
      </c>
      <c r="G10" s="1">
        <v>0</v>
      </c>
      <c r="H10" s="1">
        <v>1</v>
      </c>
      <c r="I10" s="1">
        <v>0</v>
      </c>
    </row>
    <row r="11" spans="1:9" x14ac:dyDescent="0.3">
      <c r="A11" s="10">
        <v>45757</v>
      </c>
      <c r="B11" s="1">
        <v>0</v>
      </c>
      <c r="C11" s="1">
        <v>0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</row>
    <row r="12" spans="1:9" x14ac:dyDescent="0.3">
      <c r="A12" s="10">
        <v>45758</v>
      </c>
      <c r="B12" s="1">
        <v>0</v>
      </c>
      <c r="C12" s="1">
        <v>0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</row>
    <row r="13" spans="1:9" x14ac:dyDescent="0.3">
      <c r="A13" s="10">
        <v>45759</v>
      </c>
      <c r="B13" s="1">
        <v>0</v>
      </c>
      <c r="C13" s="1">
        <v>0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</row>
    <row r="14" spans="1:9" x14ac:dyDescent="0.3">
      <c r="A14" s="10">
        <v>45760</v>
      </c>
      <c r="B14" s="1">
        <v>0</v>
      </c>
      <c r="C14" s="1">
        <v>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</row>
    <row r="15" spans="1:9" x14ac:dyDescent="0.3">
      <c r="A15" s="10">
        <v>45761</v>
      </c>
      <c r="B15" s="1">
        <v>0</v>
      </c>
      <c r="C15" s="1">
        <v>0</v>
      </c>
      <c r="D15" s="1">
        <v>0</v>
      </c>
      <c r="E15" s="1">
        <v>0</v>
      </c>
      <c r="F15" s="1">
        <v>0</v>
      </c>
      <c r="G15" s="1">
        <v>0</v>
      </c>
      <c r="H15" s="1">
        <v>2</v>
      </c>
      <c r="I15" s="1">
        <v>0</v>
      </c>
    </row>
    <row r="16" spans="1:9" x14ac:dyDescent="0.3">
      <c r="A16" s="10">
        <v>45762</v>
      </c>
      <c r="B16" s="1">
        <v>0</v>
      </c>
      <c r="C16" s="1">
        <v>0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</row>
    <row r="17" spans="1:9" x14ac:dyDescent="0.3">
      <c r="A17" s="10">
        <v>45763</v>
      </c>
      <c r="B17" s="1">
        <v>0</v>
      </c>
      <c r="C17" s="1">
        <v>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</row>
    <row r="18" spans="1:9" x14ac:dyDescent="0.3">
      <c r="A18" s="10">
        <v>45764</v>
      </c>
      <c r="B18" s="1">
        <v>0</v>
      </c>
      <c r="C18" s="1">
        <v>0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</row>
    <row r="19" spans="1:9" x14ac:dyDescent="0.3">
      <c r="A19" s="10">
        <v>45765</v>
      </c>
      <c r="B19" s="1">
        <v>0</v>
      </c>
      <c r="C19" s="1">
        <v>0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</row>
    <row r="20" spans="1:9" x14ac:dyDescent="0.3">
      <c r="A20" s="10">
        <v>45766</v>
      </c>
      <c r="B20" s="1">
        <v>0</v>
      </c>
      <c r="C20" s="1">
        <v>0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</row>
    <row r="21" spans="1:9" x14ac:dyDescent="0.3">
      <c r="A21" s="10">
        <v>45767</v>
      </c>
      <c r="B21" s="1">
        <v>0</v>
      </c>
      <c r="C21" s="1">
        <v>0</v>
      </c>
      <c r="D21" s="1">
        <v>0</v>
      </c>
      <c r="E21" s="1">
        <v>0</v>
      </c>
      <c r="F21" s="1">
        <v>0</v>
      </c>
      <c r="G21" s="1">
        <v>0</v>
      </c>
      <c r="H21" s="1">
        <v>1</v>
      </c>
      <c r="I21" s="1">
        <v>0</v>
      </c>
    </row>
    <row r="22" spans="1:9" x14ac:dyDescent="0.3">
      <c r="A22" s="10">
        <v>45768</v>
      </c>
      <c r="B22" s="1">
        <v>0</v>
      </c>
      <c r="C22" s="1">
        <v>0</v>
      </c>
      <c r="D22" s="1">
        <v>0</v>
      </c>
      <c r="E22" s="1">
        <v>0</v>
      </c>
      <c r="F22" s="1">
        <v>0</v>
      </c>
      <c r="G22" s="1">
        <v>0</v>
      </c>
      <c r="H22" s="1">
        <v>1</v>
      </c>
      <c r="I22" s="1">
        <v>0</v>
      </c>
    </row>
    <row r="23" spans="1:9" x14ac:dyDescent="0.3">
      <c r="A23" s="10">
        <v>45769</v>
      </c>
      <c r="B23" s="1">
        <v>0</v>
      </c>
      <c r="C23" s="1">
        <v>0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</row>
    <row r="24" spans="1:9" x14ac:dyDescent="0.3">
      <c r="A24" s="10">
        <v>45770</v>
      </c>
      <c r="B24" s="1">
        <v>0</v>
      </c>
      <c r="C24" s="1">
        <v>0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</row>
    <row r="25" spans="1:9" x14ac:dyDescent="0.3">
      <c r="A25" s="10">
        <v>45771</v>
      </c>
      <c r="B25" s="1">
        <v>0</v>
      </c>
      <c r="C25" s="1">
        <v>0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</row>
    <row r="26" spans="1:9" x14ac:dyDescent="0.3">
      <c r="A26" s="10">
        <v>45772</v>
      </c>
      <c r="B26" s="1">
        <v>0</v>
      </c>
      <c r="C26" s="1">
        <v>0</v>
      </c>
      <c r="D26" s="1">
        <v>0</v>
      </c>
      <c r="E26" s="1">
        <v>0</v>
      </c>
      <c r="F26" s="1">
        <v>0</v>
      </c>
      <c r="G26" s="1">
        <v>0</v>
      </c>
      <c r="H26" s="1">
        <v>2</v>
      </c>
      <c r="I26" s="1">
        <v>0</v>
      </c>
    </row>
    <row r="27" spans="1:9" x14ac:dyDescent="0.3">
      <c r="A27" s="10">
        <v>45773</v>
      </c>
      <c r="B27" s="1">
        <v>0</v>
      </c>
      <c r="C27" s="1">
        <v>0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</row>
    <row r="28" spans="1:9" x14ac:dyDescent="0.3">
      <c r="A28" s="10">
        <v>45774</v>
      </c>
      <c r="B28" s="1">
        <v>0</v>
      </c>
      <c r="C28" s="1">
        <v>0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1</v>
      </c>
    </row>
    <row r="29" spans="1:9" x14ac:dyDescent="0.3">
      <c r="A29" s="10">
        <v>45775</v>
      </c>
      <c r="B29" s="1">
        <v>0</v>
      </c>
      <c r="C29" s="1">
        <v>0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0</v>
      </c>
    </row>
    <row r="30" spans="1:9" x14ac:dyDescent="0.3">
      <c r="A30" s="10">
        <v>45776</v>
      </c>
      <c r="B30" s="1">
        <v>0</v>
      </c>
      <c r="C30" s="1">
        <v>0</v>
      </c>
      <c r="D30" s="1">
        <v>0</v>
      </c>
      <c r="E30" s="1">
        <v>0</v>
      </c>
      <c r="F30" s="1">
        <v>0</v>
      </c>
      <c r="G30" s="1">
        <v>0</v>
      </c>
      <c r="H30" s="1">
        <v>1</v>
      </c>
      <c r="I30" s="1">
        <v>0</v>
      </c>
    </row>
    <row r="31" spans="1:9" x14ac:dyDescent="0.3">
      <c r="A31" s="10">
        <v>45777</v>
      </c>
      <c r="B31" s="1">
        <v>0</v>
      </c>
      <c r="C31" s="1">
        <v>0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</row>
    <row r="32" spans="1:9" x14ac:dyDescent="0.3">
      <c r="A32" s="10">
        <v>45778</v>
      </c>
      <c r="B32" s="1">
        <v>0</v>
      </c>
      <c r="C32" s="1">
        <v>0</v>
      </c>
      <c r="D32" s="1">
        <v>0</v>
      </c>
      <c r="E32" s="1">
        <v>0</v>
      </c>
      <c r="F32" s="1">
        <v>0</v>
      </c>
      <c r="G32" s="1">
        <v>0</v>
      </c>
      <c r="H32" s="1">
        <v>1</v>
      </c>
      <c r="I32" s="1">
        <v>0</v>
      </c>
    </row>
    <row r="33" spans="1:9" x14ac:dyDescent="0.3">
      <c r="A33" s="10">
        <v>45779</v>
      </c>
      <c r="B33" s="1">
        <v>0</v>
      </c>
      <c r="C33" s="1">
        <v>0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</row>
    <row r="34" spans="1:9" x14ac:dyDescent="0.3">
      <c r="A34" s="10">
        <v>45780</v>
      </c>
      <c r="B34" s="1">
        <v>0</v>
      </c>
      <c r="C34" s="1">
        <v>0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</row>
    <row r="35" spans="1:9" x14ac:dyDescent="0.3">
      <c r="A35" s="10">
        <v>45781</v>
      </c>
      <c r="B35" s="1">
        <v>0</v>
      </c>
      <c r="C35" s="1">
        <v>0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</row>
    <row r="36" spans="1:9" x14ac:dyDescent="0.3">
      <c r="A36" s="10">
        <v>45782</v>
      </c>
      <c r="B36" s="1">
        <v>0</v>
      </c>
      <c r="C36" s="1">
        <v>0</v>
      </c>
      <c r="D36" s="1">
        <v>0</v>
      </c>
      <c r="E36" s="1">
        <v>0</v>
      </c>
      <c r="F36" s="1">
        <v>0</v>
      </c>
      <c r="G36" s="1">
        <v>0</v>
      </c>
      <c r="H36" s="1">
        <v>1</v>
      </c>
      <c r="I36" s="1">
        <v>0</v>
      </c>
    </row>
    <row r="37" spans="1:9" x14ac:dyDescent="0.3">
      <c r="A37" s="10">
        <v>45783</v>
      </c>
      <c r="B37" s="1">
        <v>0</v>
      </c>
      <c r="C37" s="1">
        <v>0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</row>
    <row r="38" spans="1:9" x14ac:dyDescent="0.3">
      <c r="A38" s="10">
        <v>45784</v>
      </c>
      <c r="B38" s="1">
        <v>0</v>
      </c>
      <c r="C38" s="1">
        <v>0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3</v>
      </c>
    </row>
    <row r="39" spans="1:9" x14ac:dyDescent="0.3">
      <c r="A39" s="10">
        <v>45785</v>
      </c>
      <c r="B39" s="1">
        <v>0</v>
      </c>
      <c r="C39" s="1">
        <v>0</v>
      </c>
      <c r="D39" s="1">
        <v>0</v>
      </c>
      <c r="E39" s="1">
        <v>0</v>
      </c>
      <c r="F39" s="1">
        <v>0</v>
      </c>
      <c r="G39" s="1">
        <v>0</v>
      </c>
      <c r="H39" s="1">
        <v>1</v>
      </c>
      <c r="I39" s="1">
        <v>0</v>
      </c>
    </row>
    <row r="40" spans="1:9" x14ac:dyDescent="0.3">
      <c r="A40" s="10">
        <v>45786</v>
      </c>
      <c r="B40" s="1">
        <v>0</v>
      </c>
      <c r="C40" s="1">
        <v>0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</row>
    <row r="41" spans="1:9" x14ac:dyDescent="0.3">
      <c r="A41" s="10">
        <v>45787</v>
      </c>
      <c r="B41" s="1">
        <v>0</v>
      </c>
      <c r="C41" s="1">
        <v>0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1</v>
      </c>
    </row>
    <row r="42" spans="1:9" x14ac:dyDescent="0.3">
      <c r="A42" s="10">
        <v>45788</v>
      </c>
      <c r="B42" s="1">
        <v>0</v>
      </c>
      <c r="C42" s="1">
        <v>0</v>
      </c>
      <c r="D42" s="1">
        <v>0</v>
      </c>
      <c r="E42" s="1">
        <v>0</v>
      </c>
      <c r="F42" s="1">
        <v>0</v>
      </c>
      <c r="G42" s="1">
        <v>0</v>
      </c>
      <c r="H42" s="1">
        <v>1</v>
      </c>
      <c r="I42" s="1">
        <v>1</v>
      </c>
    </row>
    <row r="43" spans="1:9" x14ac:dyDescent="0.3">
      <c r="A43" s="10">
        <v>45789</v>
      </c>
      <c r="B43" s="1">
        <v>0</v>
      </c>
      <c r="C43" s="1">
        <v>0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</row>
    <row r="44" spans="1:9" x14ac:dyDescent="0.3">
      <c r="A44" s="10">
        <v>45790</v>
      </c>
      <c r="B44" s="1">
        <v>0</v>
      </c>
      <c r="C44" s="1">
        <v>0</v>
      </c>
      <c r="D44" s="1">
        <v>0</v>
      </c>
      <c r="E44" s="1">
        <v>0</v>
      </c>
      <c r="F44" s="1">
        <v>0</v>
      </c>
      <c r="G44" s="1">
        <v>0</v>
      </c>
      <c r="H44" s="1">
        <v>2</v>
      </c>
      <c r="I44" s="1">
        <v>0</v>
      </c>
    </row>
    <row r="45" spans="1:9" x14ac:dyDescent="0.3">
      <c r="A45" s="10">
        <v>45791</v>
      </c>
      <c r="B45" s="1">
        <v>0</v>
      </c>
      <c r="C45" s="1">
        <v>0</v>
      </c>
      <c r="D45" s="1">
        <v>0</v>
      </c>
      <c r="E45" s="1">
        <v>0</v>
      </c>
      <c r="F45" s="1">
        <v>0</v>
      </c>
      <c r="G45" s="1">
        <v>0</v>
      </c>
      <c r="H45" s="1">
        <v>2</v>
      </c>
      <c r="I45" s="1">
        <v>0</v>
      </c>
    </row>
    <row r="46" spans="1:9" x14ac:dyDescent="0.3">
      <c r="A46" s="10">
        <v>45792</v>
      </c>
      <c r="B46" s="1">
        <v>0</v>
      </c>
      <c r="C46" s="1">
        <v>0</v>
      </c>
      <c r="D46" s="1">
        <v>0</v>
      </c>
      <c r="E46" s="1">
        <v>0</v>
      </c>
      <c r="F46" s="1">
        <v>0</v>
      </c>
      <c r="G46" s="1">
        <v>0</v>
      </c>
      <c r="H46" s="1">
        <v>1</v>
      </c>
      <c r="I46" s="1">
        <v>0</v>
      </c>
    </row>
    <row r="47" spans="1:9" x14ac:dyDescent="0.3">
      <c r="A47" s="10">
        <v>45793</v>
      </c>
      <c r="B47" s="1">
        <v>0</v>
      </c>
      <c r="C47" s="1">
        <v>0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0</v>
      </c>
    </row>
    <row r="48" spans="1:9" x14ac:dyDescent="0.3">
      <c r="A48" s="10">
        <v>45794</v>
      </c>
      <c r="B48" s="1">
        <v>0</v>
      </c>
      <c r="C48" s="1">
        <v>0</v>
      </c>
      <c r="D48" s="1">
        <v>0</v>
      </c>
      <c r="E48" s="1">
        <v>0</v>
      </c>
      <c r="F48" s="1">
        <v>0</v>
      </c>
      <c r="G48" s="1">
        <v>0</v>
      </c>
      <c r="H48" s="1">
        <v>1</v>
      </c>
      <c r="I48" s="1">
        <v>0</v>
      </c>
    </row>
    <row r="49" spans="1:9" x14ac:dyDescent="0.3">
      <c r="A49" s="10">
        <v>45795</v>
      </c>
      <c r="B49" s="1">
        <v>0</v>
      </c>
      <c r="C49" s="1">
        <v>0</v>
      </c>
      <c r="D49" s="1">
        <v>0</v>
      </c>
      <c r="E49" s="1">
        <v>0</v>
      </c>
      <c r="F49" s="1">
        <v>0</v>
      </c>
      <c r="G49" s="1">
        <v>0</v>
      </c>
      <c r="H49" s="1">
        <v>1</v>
      </c>
      <c r="I49" s="1">
        <v>0</v>
      </c>
    </row>
    <row r="50" spans="1:9" x14ac:dyDescent="0.3">
      <c r="A50" s="10">
        <v>45796</v>
      </c>
      <c r="B50" s="1">
        <v>0</v>
      </c>
      <c r="C50" s="1">
        <v>0</v>
      </c>
      <c r="D50" s="1">
        <v>0</v>
      </c>
      <c r="E50" s="1">
        <v>0</v>
      </c>
      <c r="F50" s="1">
        <v>0</v>
      </c>
      <c r="G50" s="1">
        <v>0</v>
      </c>
      <c r="H50" s="1">
        <v>1</v>
      </c>
      <c r="I50" s="1">
        <v>0</v>
      </c>
    </row>
    <row r="51" spans="1:9" x14ac:dyDescent="0.3">
      <c r="A51" s="10">
        <v>45797</v>
      </c>
      <c r="B51" s="1">
        <v>0</v>
      </c>
      <c r="C51" s="1">
        <v>0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</row>
    <row r="52" spans="1:9" x14ac:dyDescent="0.3">
      <c r="A52" s="10">
        <v>45798</v>
      </c>
      <c r="B52" s="1">
        <v>0</v>
      </c>
      <c r="C52" s="1">
        <v>0</v>
      </c>
      <c r="D52" s="1">
        <v>0</v>
      </c>
      <c r="E52" s="1">
        <v>0</v>
      </c>
      <c r="F52" s="1">
        <v>0</v>
      </c>
      <c r="G52" s="1">
        <v>0</v>
      </c>
      <c r="H52" s="1">
        <v>1</v>
      </c>
      <c r="I52" s="1">
        <v>0</v>
      </c>
    </row>
    <row r="53" spans="1:9" x14ac:dyDescent="0.3">
      <c r="A53" s="10">
        <v>45799</v>
      </c>
      <c r="B53" s="1">
        <v>0</v>
      </c>
      <c r="C53" s="1">
        <v>0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</row>
    <row r="54" spans="1:9" x14ac:dyDescent="0.3">
      <c r="A54" s="10">
        <v>45800</v>
      </c>
      <c r="B54" s="1">
        <v>0</v>
      </c>
      <c r="C54" s="1">
        <v>0</v>
      </c>
      <c r="D54" s="1">
        <v>0</v>
      </c>
      <c r="E54" s="1">
        <v>0</v>
      </c>
      <c r="F54" s="1">
        <v>0</v>
      </c>
      <c r="G54" s="1">
        <v>0</v>
      </c>
      <c r="H54" s="1">
        <v>0</v>
      </c>
      <c r="I54" s="1">
        <v>0</v>
      </c>
    </row>
    <row r="55" spans="1:9" x14ac:dyDescent="0.3">
      <c r="A55" s="10">
        <v>45801</v>
      </c>
      <c r="B55" s="1">
        <v>0</v>
      </c>
      <c r="C55" s="1">
        <v>0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</row>
    <row r="56" spans="1:9" x14ac:dyDescent="0.3">
      <c r="A56" s="10">
        <v>45802</v>
      </c>
      <c r="B56" s="1">
        <v>0</v>
      </c>
      <c r="C56" s="1">
        <v>0</v>
      </c>
      <c r="D56" s="1">
        <v>0</v>
      </c>
      <c r="E56" s="1">
        <v>0</v>
      </c>
      <c r="F56" s="1">
        <v>0</v>
      </c>
      <c r="G56" s="1">
        <v>0</v>
      </c>
      <c r="H56" s="1">
        <v>0</v>
      </c>
      <c r="I56" s="1">
        <v>0</v>
      </c>
    </row>
    <row r="57" spans="1:9" x14ac:dyDescent="0.3">
      <c r="A57" s="10">
        <v>45803</v>
      </c>
      <c r="B57" s="1">
        <v>0</v>
      </c>
      <c r="C57" s="1">
        <v>0</v>
      </c>
      <c r="D57" s="1">
        <v>0</v>
      </c>
      <c r="E57" s="1">
        <v>0</v>
      </c>
      <c r="F57" s="1">
        <v>0</v>
      </c>
      <c r="G57" s="1">
        <v>0</v>
      </c>
      <c r="H57" s="1">
        <v>0</v>
      </c>
      <c r="I57" s="1">
        <v>1</v>
      </c>
    </row>
    <row r="58" spans="1:9" x14ac:dyDescent="0.3">
      <c r="A58" s="10">
        <v>45804</v>
      </c>
      <c r="B58" s="1">
        <v>0</v>
      </c>
      <c r="C58" s="1">
        <v>0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</row>
    <row r="59" spans="1:9" x14ac:dyDescent="0.3">
      <c r="A59" s="10">
        <v>45805</v>
      </c>
      <c r="B59" s="1">
        <v>0</v>
      </c>
      <c r="C59" s="1">
        <v>0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</row>
    <row r="60" spans="1:9" x14ac:dyDescent="0.3">
      <c r="A60" s="10">
        <v>45806</v>
      </c>
      <c r="B60" s="1">
        <v>0</v>
      </c>
      <c r="C60" s="1">
        <v>0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</row>
    <row r="61" spans="1:9" x14ac:dyDescent="0.3">
      <c r="A61" s="10">
        <v>45807</v>
      </c>
      <c r="B61" s="1">
        <v>0</v>
      </c>
      <c r="C61" s="1">
        <v>0</v>
      </c>
      <c r="D61" s="1">
        <v>0</v>
      </c>
      <c r="E61" s="1">
        <v>0</v>
      </c>
      <c r="F61" s="1">
        <v>0</v>
      </c>
      <c r="G61" s="1">
        <v>0</v>
      </c>
      <c r="H61" s="1">
        <v>1</v>
      </c>
      <c r="I61" s="1">
        <v>0</v>
      </c>
    </row>
    <row r="62" spans="1:9" x14ac:dyDescent="0.3">
      <c r="A62" s="10">
        <v>45808</v>
      </c>
      <c r="B62" s="1">
        <v>0</v>
      </c>
      <c r="C62" s="1">
        <v>0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</row>
    <row r="63" spans="1:9" x14ac:dyDescent="0.3">
      <c r="A63" s="10">
        <v>45809</v>
      </c>
      <c r="B63" s="1">
        <v>0</v>
      </c>
      <c r="C63" s="1">
        <v>0</v>
      </c>
      <c r="D63" s="1">
        <v>0</v>
      </c>
      <c r="E63" s="1">
        <v>0</v>
      </c>
      <c r="F63" s="1">
        <v>0</v>
      </c>
      <c r="G63" s="1">
        <v>0</v>
      </c>
      <c r="H63" s="1">
        <v>0</v>
      </c>
      <c r="I63" s="1">
        <v>0</v>
      </c>
    </row>
    <row r="64" spans="1:9" x14ac:dyDescent="0.3">
      <c r="A64" s="10">
        <v>45810</v>
      </c>
      <c r="B64" s="1">
        <v>0</v>
      </c>
      <c r="C64" s="1">
        <v>0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  <c r="I64" s="1">
        <v>0</v>
      </c>
    </row>
    <row r="65" spans="1:9" x14ac:dyDescent="0.3">
      <c r="A65" s="10">
        <v>45811</v>
      </c>
      <c r="B65" s="1">
        <v>0</v>
      </c>
      <c r="C65" s="1">
        <v>0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v>0</v>
      </c>
    </row>
    <row r="66" spans="1:9" x14ac:dyDescent="0.3">
      <c r="A66" s="10">
        <v>45812</v>
      </c>
      <c r="B66" s="1">
        <v>0</v>
      </c>
      <c r="C66" s="1">
        <v>0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</row>
    <row r="67" spans="1:9" x14ac:dyDescent="0.3">
      <c r="A67" s="10">
        <v>45813</v>
      </c>
      <c r="B67" s="1">
        <v>0</v>
      </c>
      <c r="C67" s="1">
        <v>0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</row>
    <row r="68" spans="1:9" x14ac:dyDescent="0.3">
      <c r="A68" s="10">
        <v>45814</v>
      </c>
      <c r="B68" s="1">
        <v>0</v>
      </c>
      <c r="C68" s="1">
        <v>0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</row>
    <row r="69" spans="1:9" x14ac:dyDescent="0.3">
      <c r="A69" s="10">
        <v>45815</v>
      </c>
      <c r="B69" s="1">
        <v>0</v>
      </c>
      <c r="C69" s="1">
        <v>0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</row>
    <row r="70" spans="1:9" x14ac:dyDescent="0.3">
      <c r="A70" s="10">
        <v>45816</v>
      </c>
      <c r="B70" s="1">
        <v>0</v>
      </c>
      <c r="C70" s="1">
        <v>0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</row>
    <row r="71" spans="1:9" x14ac:dyDescent="0.3">
      <c r="A71" s="10">
        <v>45817</v>
      </c>
      <c r="B71" s="1">
        <v>0</v>
      </c>
      <c r="C71" s="1">
        <v>0</v>
      </c>
      <c r="D71" s="1">
        <v>0</v>
      </c>
      <c r="E71" s="1">
        <v>0</v>
      </c>
      <c r="F71" s="1">
        <v>0</v>
      </c>
      <c r="G71" s="1">
        <v>0</v>
      </c>
      <c r="H71" s="1">
        <v>2</v>
      </c>
      <c r="I71" s="1">
        <v>0</v>
      </c>
    </row>
    <row r="72" spans="1:9" x14ac:dyDescent="0.3">
      <c r="A72" s="10">
        <v>45818</v>
      </c>
      <c r="B72" s="1">
        <v>0</v>
      </c>
      <c r="C72" s="1">
        <v>0</v>
      </c>
      <c r="D72" s="1">
        <v>0</v>
      </c>
      <c r="E72" s="1">
        <v>0</v>
      </c>
      <c r="F72" s="1">
        <v>0</v>
      </c>
      <c r="G72" s="1">
        <v>0</v>
      </c>
      <c r="H72" s="1">
        <v>0</v>
      </c>
      <c r="I72" s="1">
        <v>0</v>
      </c>
    </row>
    <row r="73" spans="1:9" x14ac:dyDescent="0.3">
      <c r="A73" s="10">
        <v>45819</v>
      </c>
      <c r="B73" s="1">
        <v>0</v>
      </c>
      <c r="C73" s="1">
        <v>0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</row>
    <row r="74" spans="1:9" x14ac:dyDescent="0.3">
      <c r="A74" s="10">
        <v>45820</v>
      </c>
      <c r="B74" s="1">
        <v>0</v>
      </c>
      <c r="C74" s="1">
        <v>0</v>
      </c>
      <c r="D74" s="1">
        <v>0</v>
      </c>
      <c r="E74" s="1">
        <v>0</v>
      </c>
      <c r="F74" s="1">
        <v>0</v>
      </c>
      <c r="G74" s="1">
        <v>0</v>
      </c>
      <c r="H74" s="1">
        <v>0</v>
      </c>
      <c r="I74" s="1">
        <v>0</v>
      </c>
    </row>
    <row r="75" spans="1:9" x14ac:dyDescent="0.3">
      <c r="A75" s="10">
        <v>45821</v>
      </c>
      <c r="B75" s="1">
        <v>0</v>
      </c>
      <c r="C75" s="1">
        <v>0</v>
      </c>
      <c r="D75" s="1">
        <v>0</v>
      </c>
      <c r="E75" s="1">
        <v>0</v>
      </c>
      <c r="F75" s="1">
        <v>0</v>
      </c>
      <c r="G75" s="1">
        <v>0</v>
      </c>
      <c r="H75" s="1">
        <v>0</v>
      </c>
      <c r="I75" s="1">
        <v>0</v>
      </c>
    </row>
    <row r="76" spans="1:9" x14ac:dyDescent="0.3">
      <c r="A76" s="10">
        <v>45822</v>
      </c>
      <c r="B76" s="1">
        <v>0</v>
      </c>
      <c r="C76" s="1">
        <v>0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0</v>
      </c>
    </row>
    <row r="77" spans="1:9" x14ac:dyDescent="0.3">
      <c r="A77" s="10">
        <v>45823</v>
      </c>
      <c r="B77" s="1">
        <v>0</v>
      </c>
      <c r="C77" s="1">
        <v>0</v>
      </c>
      <c r="D77" s="1">
        <v>0</v>
      </c>
      <c r="E77" s="1">
        <v>0</v>
      </c>
      <c r="F77" s="1">
        <v>0</v>
      </c>
      <c r="G77" s="1">
        <v>0</v>
      </c>
      <c r="H77" s="1">
        <v>0</v>
      </c>
      <c r="I77" s="1">
        <v>0</v>
      </c>
    </row>
    <row r="78" spans="1:9" x14ac:dyDescent="0.3">
      <c r="A78" s="10">
        <v>45824</v>
      </c>
      <c r="B78" s="1">
        <v>0</v>
      </c>
      <c r="C78" s="1">
        <v>0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</row>
    <row r="79" spans="1:9" x14ac:dyDescent="0.3">
      <c r="A79" s="10">
        <v>45825</v>
      </c>
      <c r="B79" s="1">
        <v>0</v>
      </c>
      <c r="C79" s="1">
        <v>0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 s="1">
        <v>0</v>
      </c>
    </row>
    <row r="80" spans="1:9" x14ac:dyDescent="0.3">
      <c r="A80" s="10">
        <v>45826</v>
      </c>
      <c r="B80" s="1">
        <v>0</v>
      </c>
      <c r="C80" s="1">
        <v>0</v>
      </c>
      <c r="D80" s="1">
        <v>0</v>
      </c>
      <c r="E80" s="1">
        <v>0</v>
      </c>
      <c r="F80" s="1">
        <v>0</v>
      </c>
      <c r="G80" s="1">
        <v>0</v>
      </c>
      <c r="H80" s="1">
        <v>1.02</v>
      </c>
      <c r="I80" s="1">
        <v>0</v>
      </c>
    </row>
    <row r="81" spans="1:9" x14ac:dyDescent="0.3">
      <c r="A81" s="10">
        <v>45827</v>
      </c>
      <c r="B81" s="1">
        <v>0</v>
      </c>
      <c r="C81" s="1">
        <v>0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0</v>
      </c>
    </row>
    <row r="82" spans="1:9" x14ac:dyDescent="0.3">
      <c r="A82" s="10">
        <v>45828</v>
      </c>
      <c r="B82" s="1">
        <v>0</v>
      </c>
      <c r="C82" s="1">
        <v>0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0</v>
      </c>
    </row>
    <row r="83" spans="1:9" x14ac:dyDescent="0.3">
      <c r="A83" s="10">
        <v>45829</v>
      </c>
      <c r="B83" s="1">
        <v>0</v>
      </c>
      <c r="C83" s="1">
        <v>0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0</v>
      </c>
    </row>
    <row r="84" spans="1:9" x14ac:dyDescent="0.3">
      <c r="A84" s="10">
        <v>45830</v>
      </c>
      <c r="B84" s="1">
        <v>0</v>
      </c>
      <c r="C84" s="1">
        <v>0</v>
      </c>
      <c r="D84" s="1">
        <v>0</v>
      </c>
      <c r="E84" s="1">
        <v>0</v>
      </c>
      <c r="F84" s="1">
        <v>0</v>
      </c>
      <c r="G84" s="1">
        <v>0</v>
      </c>
      <c r="H84" s="1">
        <v>3.26</v>
      </c>
      <c r="I84" s="1">
        <v>0</v>
      </c>
    </row>
    <row r="85" spans="1:9" x14ac:dyDescent="0.3">
      <c r="A85" s="10">
        <v>45831</v>
      </c>
      <c r="B85" s="1">
        <v>0</v>
      </c>
      <c r="C85" s="1">
        <v>0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</row>
    <row r="86" spans="1:9" x14ac:dyDescent="0.3">
      <c r="A86" s="10">
        <v>45832</v>
      </c>
      <c r="B86" s="1">
        <v>0</v>
      </c>
      <c r="C86" s="1">
        <v>0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</row>
    <row r="87" spans="1:9" x14ac:dyDescent="0.3">
      <c r="A87" s="10">
        <v>45833</v>
      </c>
      <c r="B87" s="1">
        <v>0</v>
      </c>
      <c r="C87" s="1">
        <v>0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1.18</v>
      </c>
    </row>
    <row r="88" spans="1:9" x14ac:dyDescent="0.3">
      <c r="A88" s="10">
        <v>45834</v>
      </c>
      <c r="B88" s="1">
        <v>0</v>
      </c>
      <c r="C88" s="1">
        <v>0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</row>
    <row r="89" spans="1:9" x14ac:dyDescent="0.3">
      <c r="A89" s="10">
        <v>45835</v>
      </c>
      <c r="B89" s="1">
        <v>0</v>
      </c>
      <c r="C89" s="1">
        <v>0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</row>
    <row r="90" spans="1:9" x14ac:dyDescent="0.3">
      <c r="A90" s="10">
        <v>45836</v>
      </c>
      <c r="B90" s="1">
        <v>0</v>
      </c>
      <c r="C90" s="1">
        <v>0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</row>
    <row r="91" spans="1:9" x14ac:dyDescent="0.3">
      <c r="A91" s="10">
        <v>45837</v>
      </c>
      <c r="B91" s="1">
        <v>1.25</v>
      </c>
      <c r="C91" s="1">
        <v>0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</row>
    <row r="92" spans="1:9" x14ac:dyDescent="0.3">
      <c r="A92" s="10">
        <v>45838</v>
      </c>
      <c r="B92" s="1">
        <v>0</v>
      </c>
      <c r="C92" s="1">
        <v>0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</row>
    <row r="93" spans="1:9" x14ac:dyDescent="0.3">
      <c r="A93" s="10">
        <v>45839</v>
      </c>
      <c r="B93" s="1">
        <v>1.18</v>
      </c>
      <c r="C93" s="1">
        <v>0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1.18</v>
      </c>
    </row>
    <row r="94" spans="1:9" x14ac:dyDescent="0.3">
      <c r="A94" s="10">
        <v>45840</v>
      </c>
      <c r="B94" s="1">
        <v>0</v>
      </c>
      <c r="C94" s="1">
        <v>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</row>
    <row r="95" spans="1:9" x14ac:dyDescent="0.3">
      <c r="A95" s="10">
        <v>45841</v>
      </c>
      <c r="B95" s="1">
        <v>0</v>
      </c>
      <c r="C95" s="1">
        <v>0</v>
      </c>
      <c r="D95" s="1">
        <v>0</v>
      </c>
      <c r="E95" s="1">
        <v>0</v>
      </c>
      <c r="F95" s="1">
        <v>0</v>
      </c>
      <c r="G95" s="1">
        <v>0</v>
      </c>
      <c r="H95" s="1">
        <v>1.29</v>
      </c>
      <c r="I95" s="1">
        <v>0</v>
      </c>
    </row>
    <row r="96" spans="1:9" x14ac:dyDescent="0.3">
      <c r="A96" s="10">
        <v>45842</v>
      </c>
      <c r="B96" s="1">
        <v>0</v>
      </c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</row>
    <row r="97" spans="1:14" x14ac:dyDescent="0.3">
      <c r="A97" s="10">
        <v>45843</v>
      </c>
      <c r="B97" s="1">
        <v>0</v>
      </c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1.4</v>
      </c>
      <c r="I97" s="1">
        <v>0</v>
      </c>
    </row>
    <row r="98" spans="1:14" x14ac:dyDescent="0.3">
      <c r="A98" s="10">
        <v>45844</v>
      </c>
      <c r="B98" s="1">
        <v>0</v>
      </c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</row>
    <row r="99" spans="1:14" x14ac:dyDescent="0.3">
      <c r="A99" s="10">
        <v>45845</v>
      </c>
      <c r="B99" s="1">
        <v>0</v>
      </c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</row>
    <row r="100" spans="1:14" x14ac:dyDescent="0.3">
      <c r="A100" s="10">
        <v>45846</v>
      </c>
      <c r="B100" s="1">
        <v>0</v>
      </c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4.24</v>
      </c>
      <c r="I100" s="1">
        <v>0</v>
      </c>
    </row>
    <row r="101" spans="1:14" x14ac:dyDescent="0.3">
      <c r="A101" s="10">
        <v>45847</v>
      </c>
      <c r="B101" s="1">
        <v>0</v>
      </c>
      <c r="C101" s="1">
        <v>0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</row>
    <row r="102" spans="1:14" x14ac:dyDescent="0.3">
      <c r="A102" s="10">
        <v>45848</v>
      </c>
      <c r="B102" s="1">
        <v>2.14</v>
      </c>
      <c r="C102" s="1">
        <v>0</v>
      </c>
      <c r="D102" s="1">
        <v>0</v>
      </c>
      <c r="E102" s="1">
        <v>0</v>
      </c>
      <c r="F102" s="1">
        <v>0</v>
      </c>
      <c r="G102" s="1">
        <v>0</v>
      </c>
      <c r="H102" s="1">
        <v>3.22</v>
      </c>
      <c r="I102" s="1">
        <v>0</v>
      </c>
    </row>
    <row r="103" spans="1:14" x14ac:dyDescent="0.3">
      <c r="A103" s="10">
        <v>45849</v>
      </c>
      <c r="B103" s="1">
        <v>0</v>
      </c>
      <c r="C103" s="1">
        <v>0</v>
      </c>
      <c r="D103" s="1">
        <v>0</v>
      </c>
      <c r="E103" s="1">
        <v>0</v>
      </c>
      <c r="F103" s="1">
        <v>0</v>
      </c>
      <c r="G103" s="1">
        <v>0</v>
      </c>
      <c r="H103" s="1">
        <v>1.08</v>
      </c>
      <c r="I103" s="1">
        <v>0</v>
      </c>
    </row>
    <row r="104" spans="1:14" x14ac:dyDescent="0.3">
      <c r="A104" s="10">
        <v>45850</v>
      </c>
      <c r="B104" s="1">
        <v>0</v>
      </c>
      <c r="C104" s="1">
        <v>0</v>
      </c>
      <c r="D104" s="1">
        <v>0</v>
      </c>
      <c r="E104" s="1">
        <v>0</v>
      </c>
      <c r="F104" s="1">
        <v>0</v>
      </c>
      <c r="G104" s="1">
        <v>0</v>
      </c>
      <c r="H104" s="1">
        <v>3.25</v>
      </c>
      <c r="I104" s="1">
        <v>0</v>
      </c>
    </row>
    <row r="105" spans="1:14" x14ac:dyDescent="0.3">
      <c r="A105" s="10">
        <v>45851</v>
      </c>
      <c r="B105" s="1">
        <v>2.11</v>
      </c>
      <c r="C105" s="1">
        <v>0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</row>
    <row r="106" spans="1:14" x14ac:dyDescent="0.3">
      <c r="A106" s="10">
        <v>45852</v>
      </c>
      <c r="B106" s="1">
        <v>0</v>
      </c>
      <c r="C106" s="1">
        <v>0</v>
      </c>
      <c r="D106" s="1">
        <v>0</v>
      </c>
      <c r="E106" s="1">
        <v>0</v>
      </c>
      <c r="F106" s="1">
        <v>0</v>
      </c>
      <c r="G106" s="1">
        <v>0</v>
      </c>
      <c r="H106" s="1">
        <v>3.08</v>
      </c>
      <c r="I106" s="1">
        <v>0</v>
      </c>
    </row>
    <row r="107" spans="1:14" x14ac:dyDescent="0.3">
      <c r="A107" s="10">
        <v>45853</v>
      </c>
      <c r="B107" s="1">
        <v>0</v>
      </c>
      <c r="C107" s="1">
        <v>0</v>
      </c>
      <c r="D107" s="1">
        <v>0</v>
      </c>
      <c r="E107" s="1">
        <v>0</v>
      </c>
      <c r="F107" s="1">
        <v>0</v>
      </c>
      <c r="G107" s="1">
        <v>0</v>
      </c>
      <c r="H107" s="1">
        <v>0</v>
      </c>
      <c r="I107" s="1">
        <v>0</v>
      </c>
    </row>
    <row r="108" spans="1:14" x14ac:dyDescent="0.3">
      <c r="A108" s="10">
        <v>45854</v>
      </c>
      <c r="B108" s="1">
        <v>0</v>
      </c>
      <c r="C108" s="1">
        <v>0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</row>
    <row r="109" spans="1:14" x14ac:dyDescent="0.3">
      <c r="A109" s="10">
        <v>45855</v>
      </c>
      <c r="B109" s="1">
        <v>0</v>
      </c>
      <c r="C109" s="1">
        <v>0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1">
        <v>0</v>
      </c>
      <c r="J109" s="1"/>
      <c r="K109" s="1"/>
      <c r="L109" s="1"/>
      <c r="M109" s="1"/>
      <c r="N109" s="1"/>
    </row>
    <row r="110" spans="1:14" x14ac:dyDescent="0.3">
      <c r="A110" s="10">
        <v>45856</v>
      </c>
      <c r="B110" s="1">
        <v>0</v>
      </c>
      <c r="C110" s="1">
        <v>0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0</v>
      </c>
    </row>
    <row r="111" spans="1:14" x14ac:dyDescent="0.3">
      <c r="A111" s="10">
        <v>45857</v>
      </c>
      <c r="B111" s="1">
        <v>2.19</v>
      </c>
      <c r="C111" s="1">
        <v>0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  <c r="I111" s="1">
        <v>0</v>
      </c>
    </row>
    <row r="112" spans="1:14" x14ac:dyDescent="0.3">
      <c r="A112" s="10">
        <v>45858</v>
      </c>
      <c r="B112" s="1">
        <v>5.44</v>
      </c>
      <c r="C112" s="1">
        <v>0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0</v>
      </c>
    </row>
    <row r="113" spans="1:9" x14ac:dyDescent="0.3">
      <c r="A113" s="10">
        <v>45859</v>
      </c>
      <c r="B113" s="1">
        <v>0</v>
      </c>
      <c r="C113" s="1">
        <v>0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</row>
    <row r="114" spans="1:9" x14ac:dyDescent="0.3">
      <c r="A114" s="10">
        <v>45860</v>
      </c>
      <c r="B114" s="1">
        <v>9.64</v>
      </c>
      <c r="C114" s="1">
        <v>0</v>
      </c>
      <c r="D114" s="1">
        <v>0</v>
      </c>
      <c r="E114" s="1">
        <v>0</v>
      </c>
      <c r="F114" s="1">
        <v>0</v>
      </c>
      <c r="G114" s="1">
        <v>0</v>
      </c>
      <c r="H114" s="1">
        <v>0</v>
      </c>
      <c r="I114" s="1">
        <v>0</v>
      </c>
    </row>
    <row r="115" spans="1:9" x14ac:dyDescent="0.3">
      <c r="A115" s="10">
        <v>45861</v>
      </c>
      <c r="B115" s="1">
        <v>4.46</v>
      </c>
      <c r="C115" s="1">
        <v>0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</row>
    <row r="116" spans="1:9" x14ac:dyDescent="0.3">
      <c r="A116" s="10">
        <v>45862</v>
      </c>
      <c r="B116" s="1">
        <v>11.61</v>
      </c>
      <c r="C116" s="1">
        <v>0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0</v>
      </c>
    </row>
    <row r="117" spans="1:9" x14ac:dyDescent="0.3">
      <c r="A117" s="10">
        <v>45863</v>
      </c>
      <c r="B117" s="1">
        <v>34.97</v>
      </c>
      <c r="C117" s="1">
        <v>0</v>
      </c>
      <c r="D117" s="1">
        <v>0</v>
      </c>
      <c r="E117" s="1">
        <v>0</v>
      </c>
      <c r="F117" s="1">
        <v>0</v>
      </c>
      <c r="G117" s="1">
        <v>0</v>
      </c>
      <c r="H117" s="1">
        <v>0</v>
      </c>
      <c r="I117" s="1">
        <v>0</v>
      </c>
    </row>
    <row r="118" spans="1:9" x14ac:dyDescent="0.3">
      <c r="A118" s="10">
        <v>45864</v>
      </c>
      <c r="B118" s="1">
        <v>3.75</v>
      </c>
      <c r="C118" s="1">
        <v>0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</row>
    <row r="119" spans="1:9" x14ac:dyDescent="0.3">
      <c r="A119" s="10">
        <v>45865</v>
      </c>
      <c r="B119" s="1">
        <v>42.3</v>
      </c>
      <c r="C119" s="1">
        <v>0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0</v>
      </c>
    </row>
    <row r="120" spans="1:9" x14ac:dyDescent="0.3">
      <c r="A120" s="10">
        <v>45866</v>
      </c>
      <c r="B120" s="1">
        <v>47.3</v>
      </c>
      <c r="C120" s="1">
        <v>0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</row>
    <row r="121" spans="1:9" x14ac:dyDescent="0.3">
      <c r="A121" s="10">
        <v>45867</v>
      </c>
      <c r="B121" s="1">
        <v>110.81</v>
      </c>
      <c r="C121" s="1">
        <v>0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0</v>
      </c>
    </row>
    <row r="122" spans="1:9" x14ac:dyDescent="0.3">
      <c r="A122" s="10">
        <v>45868</v>
      </c>
      <c r="B122" s="1">
        <v>48.96</v>
      </c>
      <c r="C122" s="1">
        <v>0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</row>
    <row r="123" spans="1:9" x14ac:dyDescent="0.3">
      <c r="A123" s="10">
        <v>45869</v>
      </c>
      <c r="B123" s="1">
        <v>56.78</v>
      </c>
      <c r="C123" s="1">
        <v>0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0</v>
      </c>
    </row>
    <row r="124" spans="1:9" x14ac:dyDescent="0.3">
      <c r="A124" s="10">
        <v>45870</v>
      </c>
      <c r="B124" s="1">
        <v>6.05</v>
      </c>
      <c r="C124" s="1">
        <v>0</v>
      </c>
      <c r="D124" s="1">
        <v>0</v>
      </c>
      <c r="E124" s="1">
        <v>0</v>
      </c>
      <c r="F124" s="1">
        <v>0</v>
      </c>
      <c r="G124" s="1">
        <v>0</v>
      </c>
      <c r="H124" s="1">
        <v>1.51</v>
      </c>
      <c r="I124" s="1">
        <v>0</v>
      </c>
    </row>
    <row r="125" spans="1:9" x14ac:dyDescent="0.3">
      <c r="A125" s="10">
        <v>45871</v>
      </c>
      <c r="B125" s="1">
        <v>13.5</v>
      </c>
      <c r="C125" s="1">
        <v>0</v>
      </c>
      <c r="D125" s="1">
        <v>0</v>
      </c>
      <c r="E125" s="1">
        <v>0</v>
      </c>
      <c r="F125" s="1">
        <v>0</v>
      </c>
      <c r="G125" s="1">
        <v>0</v>
      </c>
      <c r="H125" s="1">
        <v>3</v>
      </c>
      <c r="I125" s="1">
        <v>0</v>
      </c>
    </row>
    <row r="126" spans="1:9" x14ac:dyDescent="0.3">
      <c r="A126" s="10">
        <v>45872</v>
      </c>
      <c r="B126" s="1">
        <v>52</v>
      </c>
      <c r="C126" s="1">
        <v>0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0</v>
      </c>
    </row>
    <row r="127" spans="1:9" x14ac:dyDescent="0.3">
      <c r="A127" s="10">
        <v>45873</v>
      </c>
      <c r="B127" s="1">
        <v>6</v>
      </c>
      <c r="C127" s="1">
        <v>0</v>
      </c>
      <c r="D127" s="1">
        <v>0</v>
      </c>
      <c r="E127" s="1">
        <v>0</v>
      </c>
      <c r="F127" s="1">
        <v>0</v>
      </c>
      <c r="G127" s="1">
        <v>0</v>
      </c>
      <c r="H127" s="1">
        <v>0</v>
      </c>
      <c r="I127" s="1">
        <v>0</v>
      </c>
    </row>
    <row r="128" spans="1:9" x14ac:dyDescent="0.3">
      <c r="A128" s="10">
        <v>45874</v>
      </c>
      <c r="B128" s="1">
        <v>33</v>
      </c>
      <c r="C128" s="1">
        <v>0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0</v>
      </c>
    </row>
    <row r="129" spans="1:9" x14ac:dyDescent="0.3">
      <c r="A129" s="10">
        <v>45875</v>
      </c>
      <c r="B129" s="1">
        <v>155.72999999999999</v>
      </c>
      <c r="C129" s="1">
        <v>0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</row>
    <row r="130" spans="1:9" x14ac:dyDescent="0.3">
      <c r="A130" s="10">
        <v>45876</v>
      </c>
      <c r="B130" s="1">
        <v>78.34</v>
      </c>
      <c r="C130" s="1">
        <v>2.94</v>
      </c>
      <c r="D130" s="1">
        <v>0</v>
      </c>
      <c r="E130" s="1">
        <v>0</v>
      </c>
      <c r="F130" s="1">
        <v>0</v>
      </c>
      <c r="G130" s="1">
        <v>0</v>
      </c>
      <c r="H130" s="1">
        <v>0</v>
      </c>
      <c r="I130" s="1">
        <v>0</v>
      </c>
    </row>
    <row r="131" spans="1:9" x14ac:dyDescent="0.3">
      <c r="A131" s="10">
        <v>45877</v>
      </c>
      <c r="B131" s="1">
        <v>221.72</v>
      </c>
      <c r="C131" s="1">
        <v>1.27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0</v>
      </c>
    </row>
    <row r="132" spans="1:9" x14ac:dyDescent="0.3">
      <c r="A132" s="10">
        <v>45878</v>
      </c>
      <c r="B132" s="1">
        <v>173.7</v>
      </c>
      <c r="C132" s="1">
        <v>2.71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0</v>
      </c>
    </row>
    <row r="133" spans="1:9" x14ac:dyDescent="0.3">
      <c r="A133" s="10">
        <v>45879</v>
      </c>
      <c r="B133" s="1">
        <v>140.19</v>
      </c>
      <c r="C133" s="1">
        <v>0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0</v>
      </c>
    </row>
    <row r="134" spans="1:9" x14ac:dyDescent="0.3">
      <c r="A134" s="10">
        <v>45880</v>
      </c>
      <c r="B134" s="1">
        <v>125.87</v>
      </c>
      <c r="C134" s="1">
        <v>1.34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0</v>
      </c>
    </row>
    <row r="135" spans="1:9" x14ac:dyDescent="0.3">
      <c r="A135" s="10">
        <v>45881</v>
      </c>
      <c r="B135" s="1">
        <v>15.96</v>
      </c>
      <c r="C135" s="1">
        <v>1.33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0</v>
      </c>
    </row>
    <row r="136" spans="1:9" x14ac:dyDescent="0.3">
      <c r="A136" s="10">
        <v>45882</v>
      </c>
      <c r="B136" s="1">
        <v>17.170000000000002</v>
      </c>
      <c r="C136" s="1">
        <v>0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0</v>
      </c>
    </row>
    <row r="137" spans="1:9" x14ac:dyDescent="0.3">
      <c r="A137" s="10">
        <v>45883</v>
      </c>
      <c r="B137" s="1">
        <v>32.799999999999997</v>
      </c>
      <c r="C137" s="1">
        <v>7.87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</row>
    <row r="138" spans="1:9" x14ac:dyDescent="0.3">
      <c r="A138" s="10">
        <v>45884</v>
      </c>
      <c r="B138" s="1">
        <v>39.090000000000003</v>
      </c>
      <c r="C138" s="1">
        <v>6.52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0</v>
      </c>
    </row>
    <row r="139" spans="1:9" x14ac:dyDescent="0.3">
      <c r="A139" s="10">
        <v>45885</v>
      </c>
      <c r="B139" s="1">
        <v>49.1</v>
      </c>
      <c r="C139" s="1">
        <v>5.17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0</v>
      </c>
    </row>
    <row r="140" spans="1:9" x14ac:dyDescent="0.3">
      <c r="A140" s="10">
        <v>45886</v>
      </c>
      <c r="B140" s="1">
        <v>100.25</v>
      </c>
      <c r="C140" s="1">
        <v>2.6</v>
      </c>
      <c r="D140" s="1">
        <v>0</v>
      </c>
      <c r="E140" s="1">
        <v>0</v>
      </c>
      <c r="F140" s="1">
        <v>0</v>
      </c>
      <c r="G140" s="1">
        <v>0</v>
      </c>
      <c r="H140" s="1">
        <v>0</v>
      </c>
      <c r="I140" s="1">
        <v>0</v>
      </c>
    </row>
    <row r="141" spans="1:9" x14ac:dyDescent="0.3">
      <c r="A141" s="10">
        <v>45887</v>
      </c>
      <c r="B141" s="1">
        <v>271.58</v>
      </c>
      <c r="C141" s="1">
        <v>13.12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0</v>
      </c>
    </row>
    <row r="142" spans="1:9" x14ac:dyDescent="0.3">
      <c r="A142" s="10">
        <v>45888</v>
      </c>
      <c r="B142" s="1">
        <v>245.89</v>
      </c>
      <c r="C142" s="1">
        <v>0</v>
      </c>
      <c r="D142" s="1">
        <v>0</v>
      </c>
      <c r="E142" s="1">
        <v>0</v>
      </c>
      <c r="F142" s="1">
        <v>0</v>
      </c>
      <c r="G142" s="1">
        <v>0</v>
      </c>
      <c r="H142" s="1">
        <v>0</v>
      </c>
      <c r="I142" s="1">
        <v>0</v>
      </c>
    </row>
    <row r="143" spans="1:9" x14ac:dyDescent="0.3">
      <c r="A143" s="10">
        <v>45889</v>
      </c>
      <c r="B143" s="1">
        <v>358.31</v>
      </c>
      <c r="C143" s="1">
        <v>27.97</v>
      </c>
      <c r="D143" s="1">
        <v>0</v>
      </c>
      <c r="E143" s="1">
        <v>0</v>
      </c>
      <c r="F143" s="1">
        <v>0</v>
      </c>
      <c r="G143" s="1">
        <v>1.33</v>
      </c>
      <c r="H143" s="1">
        <v>1.33</v>
      </c>
      <c r="I143" s="1">
        <v>0</v>
      </c>
    </row>
    <row r="144" spans="1:9" x14ac:dyDescent="0.3">
      <c r="A144" s="10">
        <v>45890</v>
      </c>
      <c r="B144" s="1">
        <v>350.26</v>
      </c>
      <c r="C144" s="1">
        <v>29.52</v>
      </c>
      <c r="D144" s="1">
        <v>0</v>
      </c>
      <c r="E144" s="1">
        <v>0</v>
      </c>
      <c r="F144" s="1">
        <v>0</v>
      </c>
      <c r="G144" s="1">
        <v>0</v>
      </c>
      <c r="H144" s="1">
        <v>0</v>
      </c>
      <c r="I144" s="1">
        <v>0</v>
      </c>
    </row>
    <row r="145" spans="1:9" x14ac:dyDescent="0.3">
      <c r="A145" s="10">
        <v>45891</v>
      </c>
      <c r="B145" s="1">
        <v>254.18</v>
      </c>
      <c r="C145" s="1">
        <v>27.04</v>
      </c>
      <c r="D145" s="1">
        <v>0</v>
      </c>
      <c r="E145" s="1">
        <v>0</v>
      </c>
      <c r="F145" s="1">
        <v>0</v>
      </c>
      <c r="G145" s="1">
        <v>0</v>
      </c>
      <c r="H145" s="1">
        <v>0</v>
      </c>
      <c r="I145" s="1">
        <v>0</v>
      </c>
    </row>
    <row r="146" spans="1:9" x14ac:dyDescent="0.3">
      <c r="A146" s="10">
        <v>45892</v>
      </c>
      <c r="B146" s="1">
        <v>318.70999999999998</v>
      </c>
      <c r="C146" s="1">
        <v>36.770000000000003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0</v>
      </c>
    </row>
    <row r="147" spans="1:9" x14ac:dyDescent="0.3">
      <c r="A147" s="10">
        <v>45893</v>
      </c>
      <c r="B147" s="1">
        <v>248.78</v>
      </c>
      <c r="C147" s="1">
        <v>15.47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0</v>
      </c>
    </row>
    <row r="148" spans="1:9" x14ac:dyDescent="0.3">
      <c r="A148" s="10">
        <v>45894</v>
      </c>
      <c r="B148" s="1">
        <v>126.46</v>
      </c>
      <c r="C148" s="1">
        <v>44.99</v>
      </c>
      <c r="D148" s="1">
        <v>1.22</v>
      </c>
      <c r="E148" s="1">
        <v>0</v>
      </c>
      <c r="F148" s="1">
        <v>0</v>
      </c>
      <c r="G148" s="1">
        <v>0</v>
      </c>
      <c r="H148" s="1">
        <v>0</v>
      </c>
      <c r="I148" s="1">
        <v>0</v>
      </c>
    </row>
    <row r="149" spans="1:9" x14ac:dyDescent="0.3">
      <c r="A149" s="10">
        <v>45895</v>
      </c>
      <c r="B149" s="1">
        <v>100.58</v>
      </c>
      <c r="C149" s="1">
        <v>25.15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0</v>
      </c>
    </row>
    <row r="150" spans="1:9" x14ac:dyDescent="0.3">
      <c r="A150" s="10">
        <v>45896</v>
      </c>
      <c r="B150" s="1">
        <v>51.36</v>
      </c>
      <c r="C150" s="1">
        <v>22.47</v>
      </c>
      <c r="D150" s="1">
        <v>0</v>
      </c>
      <c r="E150" s="1">
        <v>0</v>
      </c>
      <c r="F150" s="1">
        <v>0</v>
      </c>
      <c r="G150" s="1">
        <v>0</v>
      </c>
      <c r="H150" s="1">
        <v>0</v>
      </c>
      <c r="I150" s="1">
        <v>0</v>
      </c>
    </row>
    <row r="151" spans="1:9" x14ac:dyDescent="0.3">
      <c r="A151" s="10">
        <v>45897</v>
      </c>
      <c r="B151" s="1">
        <v>30</v>
      </c>
      <c r="C151" s="1">
        <v>10</v>
      </c>
      <c r="D151" s="1">
        <v>0</v>
      </c>
      <c r="E151" s="1">
        <v>0</v>
      </c>
      <c r="F151" s="1">
        <v>0</v>
      </c>
      <c r="G151" s="1">
        <v>0</v>
      </c>
      <c r="H151" s="1">
        <v>0</v>
      </c>
      <c r="I151" s="1">
        <v>0</v>
      </c>
    </row>
    <row r="152" spans="1:9" x14ac:dyDescent="0.3">
      <c r="A152" s="10">
        <v>45898</v>
      </c>
      <c r="B152" s="1">
        <v>27.09</v>
      </c>
      <c r="C152" s="1">
        <v>0</v>
      </c>
      <c r="D152" s="1">
        <v>0</v>
      </c>
      <c r="E152" s="1">
        <v>0</v>
      </c>
      <c r="F152" s="1">
        <v>0</v>
      </c>
      <c r="G152" s="1">
        <v>0</v>
      </c>
      <c r="H152" s="1">
        <v>1.04</v>
      </c>
      <c r="I152" s="1">
        <v>0</v>
      </c>
    </row>
    <row r="153" spans="1:9" x14ac:dyDescent="0.3">
      <c r="A153" s="10">
        <v>45899</v>
      </c>
      <c r="B153" s="1">
        <v>80.14</v>
      </c>
      <c r="C153" s="1">
        <v>16.239999999999998</v>
      </c>
      <c r="D153" s="1">
        <v>0</v>
      </c>
      <c r="E153" s="1">
        <v>0</v>
      </c>
      <c r="F153" s="1">
        <v>0</v>
      </c>
      <c r="G153" s="1">
        <v>0</v>
      </c>
      <c r="H153" s="1">
        <v>0</v>
      </c>
      <c r="I153" s="1">
        <v>0</v>
      </c>
    </row>
    <row r="154" spans="1:9" x14ac:dyDescent="0.3">
      <c r="A154" s="10">
        <v>45900</v>
      </c>
      <c r="B154" s="1">
        <v>112.37</v>
      </c>
      <c r="C154" s="1">
        <v>13.09</v>
      </c>
      <c r="D154" s="1">
        <v>0</v>
      </c>
      <c r="E154" s="1">
        <v>0</v>
      </c>
      <c r="F154" s="1">
        <v>1.0900000000000001</v>
      </c>
      <c r="G154" s="1">
        <v>0</v>
      </c>
      <c r="H154" s="1">
        <v>0</v>
      </c>
      <c r="I154" s="1">
        <v>0</v>
      </c>
    </row>
    <row r="155" spans="1:9" x14ac:dyDescent="0.3">
      <c r="A155" s="10">
        <v>45901</v>
      </c>
      <c r="B155" s="1">
        <v>161.55000000000001</v>
      </c>
      <c r="C155" s="1">
        <v>42.86</v>
      </c>
      <c r="D155" s="1">
        <v>0</v>
      </c>
      <c r="E155" s="1">
        <v>0</v>
      </c>
      <c r="F155" s="1">
        <v>0</v>
      </c>
      <c r="G155" s="1">
        <v>0</v>
      </c>
      <c r="H155" s="1">
        <v>0</v>
      </c>
      <c r="I155" s="1">
        <v>0</v>
      </c>
    </row>
    <row r="156" spans="1:9" x14ac:dyDescent="0.3">
      <c r="A156" s="10">
        <v>45902</v>
      </c>
      <c r="B156" s="1">
        <v>128.63999999999999</v>
      </c>
      <c r="C156" s="1">
        <v>75.41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0</v>
      </c>
    </row>
    <row r="157" spans="1:9" x14ac:dyDescent="0.3">
      <c r="A157" s="10">
        <v>45903</v>
      </c>
      <c r="B157" s="1">
        <v>140</v>
      </c>
      <c r="C157" s="1">
        <v>60.97</v>
      </c>
      <c r="D157" s="1">
        <v>0</v>
      </c>
      <c r="E157" s="1">
        <v>0</v>
      </c>
      <c r="F157" s="1">
        <v>0</v>
      </c>
      <c r="G157" s="1">
        <v>0</v>
      </c>
      <c r="H157" s="1">
        <v>0</v>
      </c>
      <c r="I157" s="1">
        <v>0</v>
      </c>
    </row>
    <row r="158" spans="1:9" x14ac:dyDescent="0.3">
      <c r="A158" s="10">
        <v>45904</v>
      </c>
      <c r="B158" s="1">
        <v>129.84</v>
      </c>
      <c r="C158" s="1">
        <v>32.17</v>
      </c>
      <c r="D158" s="1">
        <v>0</v>
      </c>
      <c r="E158" s="1">
        <v>0</v>
      </c>
      <c r="F158" s="1">
        <v>0</v>
      </c>
      <c r="G158" s="1">
        <v>0</v>
      </c>
      <c r="H158" s="1">
        <v>0</v>
      </c>
      <c r="I158" s="1">
        <v>0</v>
      </c>
    </row>
    <row r="159" spans="1:9" x14ac:dyDescent="0.3">
      <c r="A159" s="10">
        <v>45905</v>
      </c>
      <c r="B159" s="1">
        <v>143.79</v>
      </c>
      <c r="C159" s="1">
        <v>53.77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 s="1">
        <v>0</v>
      </c>
    </row>
    <row r="160" spans="1:9" x14ac:dyDescent="0.3">
      <c r="A160" s="10">
        <v>45906</v>
      </c>
      <c r="B160" s="1">
        <v>128.30000000000001</v>
      </c>
      <c r="C160" s="1">
        <v>55.84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0</v>
      </c>
    </row>
    <row r="161" spans="1:9" x14ac:dyDescent="0.3">
      <c r="A161" s="10">
        <v>45907</v>
      </c>
      <c r="B161" s="1">
        <v>250.78</v>
      </c>
      <c r="C161" s="1">
        <v>76.63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0</v>
      </c>
    </row>
    <row r="162" spans="1:9" x14ac:dyDescent="0.3">
      <c r="A162" s="10">
        <v>45908</v>
      </c>
      <c r="B162" s="1">
        <v>283.5</v>
      </c>
      <c r="C162" s="1">
        <v>54.43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0</v>
      </c>
    </row>
    <row r="163" spans="1:9" x14ac:dyDescent="0.3">
      <c r="A163" s="10">
        <v>45909</v>
      </c>
      <c r="B163" s="1">
        <v>353.13</v>
      </c>
      <c r="C163" s="1">
        <v>55.35</v>
      </c>
      <c r="D163" s="1">
        <v>0</v>
      </c>
      <c r="E163" s="1">
        <v>0</v>
      </c>
      <c r="F163" s="1">
        <v>0</v>
      </c>
      <c r="G163" s="1">
        <v>0</v>
      </c>
      <c r="H163" s="1">
        <v>0</v>
      </c>
      <c r="I163" s="1">
        <v>0</v>
      </c>
    </row>
    <row r="164" spans="1:9" x14ac:dyDescent="0.3">
      <c r="A164" s="10">
        <v>45910</v>
      </c>
      <c r="B164" s="1">
        <v>117.72</v>
      </c>
      <c r="C164" s="1">
        <v>61.56</v>
      </c>
      <c r="D164" s="1">
        <v>0</v>
      </c>
      <c r="E164" s="1">
        <v>0</v>
      </c>
      <c r="F164" s="1">
        <v>0</v>
      </c>
      <c r="G164" s="1">
        <v>0</v>
      </c>
      <c r="H164" s="1">
        <v>0</v>
      </c>
      <c r="I164" s="1">
        <v>0</v>
      </c>
    </row>
    <row r="165" spans="1:9" x14ac:dyDescent="0.3">
      <c r="A165" s="10">
        <v>45911</v>
      </c>
      <c r="B165" s="1">
        <v>290.63</v>
      </c>
      <c r="C165" s="1">
        <v>74.760000000000005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0</v>
      </c>
    </row>
    <row r="166" spans="1:9" x14ac:dyDescent="0.3">
      <c r="A166" s="10">
        <v>45912</v>
      </c>
      <c r="B166" s="1">
        <v>153.9</v>
      </c>
      <c r="C166" s="1">
        <v>48.22</v>
      </c>
      <c r="D166" s="1">
        <v>0</v>
      </c>
      <c r="E166" s="1">
        <v>0</v>
      </c>
      <c r="F166" s="1">
        <v>0</v>
      </c>
      <c r="G166" s="1">
        <v>0</v>
      </c>
      <c r="H166" s="1">
        <v>0</v>
      </c>
      <c r="I166" s="1">
        <v>0</v>
      </c>
    </row>
    <row r="167" spans="1:9" x14ac:dyDescent="0.3">
      <c r="A167" s="10">
        <v>45913</v>
      </c>
      <c r="B167" s="1">
        <v>99.99</v>
      </c>
      <c r="C167" s="1">
        <v>62.22</v>
      </c>
      <c r="D167" s="1">
        <v>0</v>
      </c>
      <c r="E167" s="1">
        <v>0</v>
      </c>
      <c r="F167" s="1">
        <v>0</v>
      </c>
      <c r="G167" s="1">
        <v>0</v>
      </c>
      <c r="H167" s="1">
        <v>0</v>
      </c>
      <c r="I167" s="1">
        <v>0</v>
      </c>
    </row>
    <row r="168" spans="1:9" x14ac:dyDescent="0.3">
      <c r="A168" s="10">
        <v>45914</v>
      </c>
      <c r="B168" s="1">
        <v>15.84</v>
      </c>
      <c r="C168" s="1">
        <v>19.010000000000002</v>
      </c>
      <c r="D168" s="1">
        <v>0</v>
      </c>
      <c r="E168" s="1">
        <v>0</v>
      </c>
      <c r="F168" s="1">
        <v>0</v>
      </c>
      <c r="G168" s="1">
        <v>0</v>
      </c>
      <c r="H168" s="1">
        <v>0</v>
      </c>
      <c r="I168" s="1">
        <v>0</v>
      </c>
    </row>
    <row r="169" spans="1:9" x14ac:dyDescent="0.3">
      <c r="A169" s="10">
        <v>45915</v>
      </c>
      <c r="B169" s="1">
        <v>69</v>
      </c>
      <c r="C169" s="1">
        <v>29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0</v>
      </c>
    </row>
    <row r="170" spans="1:9" x14ac:dyDescent="0.3">
      <c r="A170" s="10">
        <v>45916</v>
      </c>
      <c r="B170" s="1">
        <v>263</v>
      </c>
      <c r="C170" s="1">
        <v>58</v>
      </c>
      <c r="D170" s="1">
        <v>0</v>
      </c>
      <c r="E170" s="1">
        <v>0</v>
      </c>
      <c r="F170" s="1">
        <v>0</v>
      </c>
      <c r="G170" s="1">
        <v>0</v>
      </c>
      <c r="H170" s="1">
        <v>0</v>
      </c>
      <c r="I170" s="1">
        <v>0</v>
      </c>
    </row>
    <row r="171" spans="1:9" x14ac:dyDescent="0.3">
      <c r="A171" s="10">
        <v>45917</v>
      </c>
      <c r="B171" s="1">
        <v>119</v>
      </c>
      <c r="C171" s="1">
        <v>26</v>
      </c>
      <c r="D171" s="1">
        <v>0</v>
      </c>
      <c r="E171" s="1">
        <v>0</v>
      </c>
      <c r="F171" s="1">
        <v>0</v>
      </c>
      <c r="G171" s="1">
        <v>0</v>
      </c>
      <c r="H171" s="1">
        <v>0</v>
      </c>
      <c r="I171" s="1">
        <v>0</v>
      </c>
    </row>
    <row r="172" spans="1:9" x14ac:dyDescent="0.3">
      <c r="A172" s="10">
        <v>45918</v>
      </c>
      <c r="B172" s="1">
        <v>165</v>
      </c>
      <c r="C172" s="1">
        <v>58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</row>
    <row r="173" spans="1:9" x14ac:dyDescent="0.3">
      <c r="A173" s="10">
        <v>45919</v>
      </c>
      <c r="B173" s="1">
        <v>61</v>
      </c>
      <c r="C173" s="1">
        <v>58</v>
      </c>
      <c r="D173" s="1">
        <v>0</v>
      </c>
      <c r="E173" s="1">
        <v>0</v>
      </c>
      <c r="F173" s="1">
        <v>0</v>
      </c>
      <c r="G173" s="1">
        <v>1</v>
      </c>
      <c r="H173" s="1">
        <v>0</v>
      </c>
      <c r="I173" s="1">
        <v>0</v>
      </c>
    </row>
    <row r="174" spans="1:9" x14ac:dyDescent="0.3">
      <c r="A174" s="10">
        <v>45920</v>
      </c>
      <c r="B174" s="1">
        <v>64</v>
      </c>
      <c r="C174" s="1">
        <v>55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0</v>
      </c>
    </row>
    <row r="175" spans="1:9" x14ac:dyDescent="0.3">
      <c r="A175" s="10">
        <v>45921</v>
      </c>
      <c r="B175" s="1">
        <v>549</v>
      </c>
      <c r="C175" s="1">
        <v>176</v>
      </c>
      <c r="D175" s="1">
        <v>0</v>
      </c>
      <c r="E175" s="1">
        <v>0</v>
      </c>
      <c r="F175" s="1">
        <v>0</v>
      </c>
      <c r="G175" s="1">
        <v>0</v>
      </c>
      <c r="H175" s="1">
        <v>0</v>
      </c>
      <c r="I175" s="1">
        <v>0</v>
      </c>
    </row>
    <row r="176" spans="1:9" x14ac:dyDescent="0.3">
      <c r="A176" s="10">
        <v>45922</v>
      </c>
      <c r="B176" s="1">
        <v>127</v>
      </c>
      <c r="C176" s="1">
        <v>110</v>
      </c>
      <c r="D176" s="1">
        <v>0</v>
      </c>
      <c r="E176" s="1">
        <v>0</v>
      </c>
      <c r="F176" s="1">
        <v>0</v>
      </c>
      <c r="G176" s="1">
        <v>0</v>
      </c>
      <c r="H176" s="1">
        <v>0</v>
      </c>
      <c r="I176" s="1">
        <v>0</v>
      </c>
    </row>
    <row r="177" spans="1:9" x14ac:dyDescent="0.3">
      <c r="A177" s="10">
        <v>45923</v>
      </c>
      <c r="B177" s="1">
        <v>57</v>
      </c>
      <c r="C177" s="1">
        <v>64</v>
      </c>
      <c r="D177" s="1">
        <v>0</v>
      </c>
      <c r="E177" s="1">
        <v>0</v>
      </c>
      <c r="F177" s="1">
        <v>0</v>
      </c>
      <c r="G177" s="1">
        <v>0</v>
      </c>
      <c r="H177" s="1">
        <v>1</v>
      </c>
      <c r="I177" s="1">
        <v>0</v>
      </c>
    </row>
    <row r="178" spans="1:9" x14ac:dyDescent="0.3">
      <c r="A178" s="10">
        <v>45924</v>
      </c>
      <c r="B178" s="1">
        <v>26</v>
      </c>
      <c r="C178" s="1">
        <v>27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0</v>
      </c>
    </row>
    <row r="179" spans="1:9" x14ac:dyDescent="0.3">
      <c r="A179" s="10">
        <v>45925</v>
      </c>
      <c r="B179" s="1">
        <v>70</v>
      </c>
      <c r="C179" s="1">
        <v>67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v>0</v>
      </c>
    </row>
    <row r="180" spans="1:9" x14ac:dyDescent="0.3">
      <c r="A180" s="10">
        <v>45926</v>
      </c>
      <c r="B180" s="1">
        <v>30</v>
      </c>
      <c r="C180" s="1">
        <v>22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0</v>
      </c>
    </row>
    <row r="181" spans="1:9" x14ac:dyDescent="0.3">
      <c r="A181" s="10">
        <v>45927</v>
      </c>
      <c r="B181" s="1">
        <v>66</v>
      </c>
      <c r="C181" s="1">
        <v>53</v>
      </c>
      <c r="D181" s="1">
        <v>0</v>
      </c>
      <c r="E181" s="1">
        <v>0</v>
      </c>
      <c r="F181" s="1">
        <v>1</v>
      </c>
      <c r="G181" s="1">
        <v>0</v>
      </c>
      <c r="H181" s="1">
        <v>0</v>
      </c>
      <c r="I181" s="1">
        <v>0</v>
      </c>
    </row>
    <row r="182" spans="1:9" x14ac:dyDescent="0.3">
      <c r="A182" s="10">
        <v>45928</v>
      </c>
      <c r="B182" s="1">
        <v>185</v>
      </c>
      <c r="C182" s="1">
        <v>115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  <c r="I182" s="1">
        <v>0</v>
      </c>
    </row>
    <row r="183" spans="1:9" x14ac:dyDescent="0.3">
      <c r="A183" s="10">
        <v>45929</v>
      </c>
      <c r="B183" s="1">
        <v>400</v>
      </c>
      <c r="C183" s="1">
        <v>138</v>
      </c>
      <c r="D183" s="1">
        <v>0</v>
      </c>
      <c r="E183" s="1">
        <v>0</v>
      </c>
      <c r="F183" s="1">
        <v>0</v>
      </c>
      <c r="G183" s="1">
        <v>0</v>
      </c>
      <c r="H183" s="1">
        <v>2</v>
      </c>
      <c r="I183" s="1">
        <v>0</v>
      </c>
    </row>
    <row r="184" spans="1:9" x14ac:dyDescent="0.3">
      <c r="A184" s="10">
        <v>45930</v>
      </c>
      <c r="B184" s="1">
        <v>213</v>
      </c>
      <c r="C184" s="1">
        <v>136</v>
      </c>
      <c r="D184" s="1">
        <v>0</v>
      </c>
      <c r="E184" s="1">
        <v>0</v>
      </c>
      <c r="F184" s="1">
        <v>0</v>
      </c>
      <c r="G184" s="1">
        <v>5</v>
      </c>
      <c r="H184" s="1">
        <v>2</v>
      </c>
      <c r="I184" s="1">
        <v>0</v>
      </c>
    </row>
    <row r="185" spans="1:9" x14ac:dyDescent="0.3">
      <c r="A185" s="10">
        <v>45931</v>
      </c>
      <c r="B185" s="1">
        <v>475</v>
      </c>
      <c r="C185" s="1">
        <v>144</v>
      </c>
      <c r="D185" s="1">
        <v>0</v>
      </c>
      <c r="E185" s="1">
        <v>0</v>
      </c>
      <c r="F185" s="1">
        <v>0</v>
      </c>
      <c r="G185" s="1">
        <v>10</v>
      </c>
      <c r="H185" s="1">
        <v>0</v>
      </c>
      <c r="I185" s="1">
        <v>0</v>
      </c>
    </row>
    <row r="186" spans="1:9" x14ac:dyDescent="0.3">
      <c r="A186" s="10">
        <v>45932</v>
      </c>
      <c r="B186" s="1">
        <v>678</v>
      </c>
      <c r="C186" s="1">
        <v>289</v>
      </c>
      <c r="D186" s="1">
        <v>0</v>
      </c>
      <c r="E186" s="1">
        <v>0</v>
      </c>
      <c r="F186" s="1">
        <v>22</v>
      </c>
      <c r="G186" s="1">
        <v>30</v>
      </c>
      <c r="H186" s="1">
        <v>0</v>
      </c>
      <c r="I186" s="1">
        <v>0</v>
      </c>
    </row>
    <row r="187" spans="1:9" x14ac:dyDescent="0.3">
      <c r="A187" s="10">
        <v>45933</v>
      </c>
      <c r="B187" s="1">
        <v>176</v>
      </c>
      <c r="C187" s="1">
        <v>72</v>
      </c>
      <c r="D187" s="1">
        <v>0</v>
      </c>
      <c r="E187" s="1">
        <v>0</v>
      </c>
      <c r="F187" s="1">
        <v>13</v>
      </c>
      <c r="G187" s="1">
        <v>26</v>
      </c>
      <c r="H187" s="1">
        <v>1</v>
      </c>
      <c r="I187" s="1">
        <v>0</v>
      </c>
    </row>
    <row r="188" spans="1:9" x14ac:dyDescent="0.3">
      <c r="A188" s="10">
        <v>45934</v>
      </c>
      <c r="B188" s="1">
        <v>53</v>
      </c>
      <c r="C188" s="1">
        <v>31</v>
      </c>
      <c r="D188" s="1">
        <v>0</v>
      </c>
      <c r="E188" s="1">
        <v>0</v>
      </c>
      <c r="F188" s="1">
        <v>3</v>
      </c>
      <c r="G188" s="1">
        <v>33</v>
      </c>
      <c r="H188" s="1">
        <v>0</v>
      </c>
      <c r="I188" s="1">
        <v>0</v>
      </c>
    </row>
    <row r="189" spans="1:9" x14ac:dyDescent="0.3">
      <c r="A189" s="10">
        <v>45935</v>
      </c>
      <c r="B189" s="1">
        <v>68</v>
      </c>
      <c r="C189" s="1">
        <v>12</v>
      </c>
      <c r="D189" s="1">
        <v>0</v>
      </c>
      <c r="E189" s="1">
        <v>0</v>
      </c>
      <c r="F189" s="1">
        <v>2</v>
      </c>
      <c r="G189" s="1">
        <v>13</v>
      </c>
      <c r="H189" s="1">
        <v>0</v>
      </c>
      <c r="I189" s="1">
        <v>0</v>
      </c>
    </row>
    <row r="190" spans="1:9" x14ac:dyDescent="0.3">
      <c r="A190" s="10">
        <v>45936</v>
      </c>
      <c r="B190" s="1">
        <v>96</v>
      </c>
      <c r="C190" s="1">
        <v>21</v>
      </c>
      <c r="D190" s="1">
        <v>0</v>
      </c>
      <c r="E190" s="1">
        <v>0</v>
      </c>
      <c r="F190" s="1">
        <v>7</v>
      </c>
      <c r="G190" s="1">
        <v>13</v>
      </c>
      <c r="H190" s="1">
        <v>0</v>
      </c>
      <c r="I190" s="1">
        <v>0</v>
      </c>
    </row>
    <row r="191" spans="1:9" x14ac:dyDescent="0.3">
      <c r="A191" s="10">
        <v>45937</v>
      </c>
      <c r="B191" s="1">
        <v>60</v>
      </c>
      <c r="C191" s="1">
        <v>15</v>
      </c>
      <c r="D191" s="1">
        <v>0</v>
      </c>
      <c r="E191" s="1">
        <v>0</v>
      </c>
      <c r="F191" s="1">
        <v>4</v>
      </c>
      <c r="G191" s="1">
        <v>13</v>
      </c>
      <c r="H191" s="1">
        <v>0</v>
      </c>
      <c r="I191" s="1">
        <v>0</v>
      </c>
    </row>
    <row r="192" spans="1:9" x14ac:dyDescent="0.3">
      <c r="A192" s="10">
        <v>45938</v>
      </c>
      <c r="B192" s="1">
        <v>75</v>
      </c>
      <c r="C192" s="1">
        <v>11</v>
      </c>
      <c r="D192" s="1">
        <v>0</v>
      </c>
      <c r="E192" s="1">
        <v>0</v>
      </c>
      <c r="F192" s="1">
        <v>4</v>
      </c>
      <c r="G192" s="1">
        <v>4</v>
      </c>
      <c r="H192" s="1">
        <v>0</v>
      </c>
      <c r="I192" s="1">
        <v>0</v>
      </c>
    </row>
    <row r="193" spans="1:9" x14ac:dyDescent="0.3">
      <c r="A193" s="10">
        <v>45939</v>
      </c>
      <c r="B193" s="1">
        <v>39</v>
      </c>
      <c r="C193" s="1">
        <v>18</v>
      </c>
      <c r="D193" s="1">
        <v>0</v>
      </c>
      <c r="E193" s="1">
        <v>0</v>
      </c>
      <c r="F193" s="1">
        <v>4</v>
      </c>
      <c r="G193" s="1">
        <v>5</v>
      </c>
      <c r="H193" s="1">
        <v>2</v>
      </c>
      <c r="I193" s="1">
        <v>0</v>
      </c>
    </row>
    <row r="194" spans="1:9" x14ac:dyDescent="0.3">
      <c r="A194" s="10">
        <v>45940</v>
      </c>
      <c r="B194" s="1">
        <v>36</v>
      </c>
      <c r="C194" s="1">
        <v>12</v>
      </c>
      <c r="D194" s="1">
        <v>0</v>
      </c>
      <c r="E194" s="1">
        <v>0</v>
      </c>
      <c r="F194" s="1">
        <v>4</v>
      </c>
      <c r="G194" s="1">
        <v>5</v>
      </c>
      <c r="H194" s="1">
        <v>1</v>
      </c>
      <c r="I194" s="1">
        <v>0</v>
      </c>
    </row>
    <row r="195" spans="1:9" x14ac:dyDescent="0.3">
      <c r="A195" s="10">
        <v>45941</v>
      </c>
      <c r="B195" s="1">
        <v>41</v>
      </c>
      <c r="C195" s="1">
        <v>14</v>
      </c>
      <c r="D195" s="1">
        <v>0</v>
      </c>
      <c r="E195" s="1">
        <v>0</v>
      </c>
      <c r="F195" s="1">
        <v>6</v>
      </c>
      <c r="G195" s="1">
        <v>4</v>
      </c>
      <c r="H195" s="1">
        <v>0</v>
      </c>
      <c r="I195" s="1">
        <v>0</v>
      </c>
    </row>
    <row r="196" spans="1:9" x14ac:dyDescent="0.3">
      <c r="A196" s="10">
        <v>45942</v>
      </c>
      <c r="B196" s="1">
        <v>29</v>
      </c>
      <c r="C196" s="1">
        <v>12</v>
      </c>
      <c r="D196" s="1">
        <v>0</v>
      </c>
      <c r="E196" s="1">
        <v>0</v>
      </c>
      <c r="F196" s="1">
        <v>6</v>
      </c>
      <c r="G196" s="1">
        <v>5</v>
      </c>
      <c r="H196" s="1">
        <v>1</v>
      </c>
      <c r="I196" s="1">
        <v>0</v>
      </c>
    </row>
    <row r="197" spans="1:9" x14ac:dyDescent="0.3">
      <c r="A197" s="10">
        <v>45943</v>
      </c>
      <c r="B197" s="1">
        <v>14</v>
      </c>
      <c r="C197" s="1">
        <v>2</v>
      </c>
      <c r="D197" s="1">
        <v>0</v>
      </c>
      <c r="E197" s="1">
        <v>0</v>
      </c>
      <c r="F197" s="1">
        <v>8</v>
      </c>
      <c r="G197" s="1">
        <v>1</v>
      </c>
      <c r="H197" s="1">
        <v>0</v>
      </c>
      <c r="I197" s="1">
        <v>0</v>
      </c>
    </row>
    <row r="198" spans="1:9" x14ac:dyDescent="0.3">
      <c r="A198" s="10">
        <v>45944</v>
      </c>
      <c r="B198" s="1">
        <v>12</v>
      </c>
      <c r="C198" s="1">
        <v>3</v>
      </c>
      <c r="D198" s="1">
        <v>0</v>
      </c>
      <c r="E198" s="1">
        <v>0</v>
      </c>
      <c r="F198" s="1">
        <v>8</v>
      </c>
      <c r="G198" s="1">
        <v>4</v>
      </c>
      <c r="H198" s="1">
        <v>0</v>
      </c>
      <c r="I198" s="1">
        <v>0</v>
      </c>
    </row>
    <row r="199" spans="1:9" x14ac:dyDescent="0.3">
      <c r="A199" s="10">
        <v>45945</v>
      </c>
      <c r="B199" s="1">
        <v>14</v>
      </c>
      <c r="C199" s="1">
        <v>1</v>
      </c>
      <c r="D199" s="1">
        <v>0</v>
      </c>
      <c r="E199" s="1">
        <v>0</v>
      </c>
      <c r="F199" s="1">
        <v>4</v>
      </c>
      <c r="G199" s="1">
        <v>5</v>
      </c>
      <c r="H199" s="1">
        <v>0</v>
      </c>
      <c r="I199" s="1">
        <v>0</v>
      </c>
    </row>
    <row r="200" spans="1:9" x14ac:dyDescent="0.3">
      <c r="A200" s="10">
        <v>45946</v>
      </c>
      <c r="B200" s="1">
        <v>7</v>
      </c>
      <c r="C200" s="1">
        <v>3</v>
      </c>
      <c r="D200" s="1">
        <v>0</v>
      </c>
      <c r="E200" s="1">
        <v>0</v>
      </c>
      <c r="F200" s="1">
        <v>5</v>
      </c>
      <c r="G200" s="1">
        <v>3</v>
      </c>
      <c r="H200" s="1">
        <v>0</v>
      </c>
      <c r="I200" s="1">
        <v>0</v>
      </c>
    </row>
    <row r="201" spans="1:9" x14ac:dyDescent="0.3">
      <c r="A201" s="10">
        <v>45947</v>
      </c>
      <c r="B201" s="1">
        <v>1</v>
      </c>
      <c r="C201" s="1">
        <v>2</v>
      </c>
      <c r="D201" s="1">
        <v>0</v>
      </c>
      <c r="E201" s="1">
        <v>0</v>
      </c>
      <c r="F201" s="1">
        <v>5</v>
      </c>
      <c r="G201" s="1">
        <v>0</v>
      </c>
      <c r="H201" s="1">
        <v>0</v>
      </c>
      <c r="I201" s="1">
        <v>0</v>
      </c>
    </row>
    <row r="202" spans="1:9" x14ac:dyDescent="0.3">
      <c r="A202" s="10">
        <v>45948</v>
      </c>
      <c r="B202" s="1">
        <v>10</v>
      </c>
      <c r="C202" s="1">
        <v>1</v>
      </c>
      <c r="D202" s="1">
        <v>0</v>
      </c>
      <c r="E202" s="1">
        <v>0</v>
      </c>
      <c r="F202" s="1">
        <v>7</v>
      </c>
      <c r="G202" s="1">
        <v>5</v>
      </c>
      <c r="H202" s="1">
        <v>0</v>
      </c>
      <c r="I202" s="1">
        <v>0</v>
      </c>
    </row>
    <row r="203" spans="1:9" x14ac:dyDescent="0.3">
      <c r="A203" s="10">
        <v>45949</v>
      </c>
      <c r="B203" s="1">
        <v>9.5</v>
      </c>
      <c r="C203" s="1">
        <v>1.5</v>
      </c>
      <c r="D203" s="1">
        <v>0</v>
      </c>
      <c r="E203" s="1">
        <v>0.5</v>
      </c>
      <c r="F203" s="1">
        <v>6</v>
      </c>
      <c r="G203" s="1">
        <v>7.5</v>
      </c>
      <c r="H203" s="1">
        <v>0</v>
      </c>
      <c r="I203" s="1">
        <v>0</v>
      </c>
    </row>
    <row r="204" spans="1:9" x14ac:dyDescent="0.3">
      <c r="A204" s="10">
        <v>45950</v>
      </c>
      <c r="B204" s="1">
        <v>14.12</v>
      </c>
      <c r="C204" s="1">
        <v>3.5</v>
      </c>
      <c r="D204" s="1">
        <v>0</v>
      </c>
      <c r="E204" s="1">
        <v>1</v>
      </c>
      <c r="F204" s="1">
        <v>10.54</v>
      </c>
      <c r="G204" s="1">
        <v>12.5</v>
      </c>
      <c r="H204" s="1">
        <v>0</v>
      </c>
      <c r="I204" s="1">
        <v>0</v>
      </c>
    </row>
    <row r="205" spans="1:9" x14ac:dyDescent="0.3">
      <c r="A205" s="10">
        <v>45951</v>
      </c>
      <c r="B205" s="1">
        <v>5</v>
      </c>
      <c r="C205" s="1">
        <v>4</v>
      </c>
      <c r="D205" s="1">
        <v>0</v>
      </c>
      <c r="E205" s="1">
        <v>0</v>
      </c>
      <c r="F205" s="1">
        <v>5</v>
      </c>
      <c r="G205" s="1">
        <v>11</v>
      </c>
      <c r="H205" s="1">
        <v>0</v>
      </c>
      <c r="I205" s="1">
        <v>0</v>
      </c>
    </row>
    <row r="206" spans="1:9" x14ac:dyDescent="0.3">
      <c r="A206" s="10">
        <v>45952</v>
      </c>
      <c r="B206" s="1">
        <v>3</v>
      </c>
      <c r="C206" s="1">
        <v>3</v>
      </c>
      <c r="D206" s="1">
        <v>0</v>
      </c>
      <c r="E206" s="1">
        <v>0</v>
      </c>
      <c r="F206" s="1">
        <v>5</v>
      </c>
      <c r="G206" s="1">
        <v>5</v>
      </c>
      <c r="H206" s="1">
        <v>0</v>
      </c>
      <c r="I206" s="1">
        <v>0</v>
      </c>
    </row>
    <row r="207" spans="1:9" x14ac:dyDescent="0.3">
      <c r="A207" s="10">
        <v>45953</v>
      </c>
      <c r="B207" s="1">
        <v>8</v>
      </c>
      <c r="C207" s="1">
        <v>5</v>
      </c>
      <c r="D207" s="1">
        <v>0</v>
      </c>
      <c r="E207" s="1">
        <v>0</v>
      </c>
      <c r="F207" s="1">
        <v>3</v>
      </c>
      <c r="G207" s="1">
        <v>7</v>
      </c>
      <c r="H207" s="1">
        <v>0</v>
      </c>
      <c r="I207" s="1">
        <v>0</v>
      </c>
    </row>
    <row r="208" spans="1:9" x14ac:dyDescent="0.3">
      <c r="A208" s="10">
        <v>45954</v>
      </c>
      <c r="B208" s="1">
        <v>120</v>
      </c>
      <c r="C208" s="1">
        <v>33</v>
      </c>
      <c r="D208" s="1">
        <v>0</v>
      </c>
      <c r="E208" s="1">
        <v>0</v>
      </c>
      <c r="F208" s="1">
        <v>14</v>
      </c>
      <c r="G208" s="1">
        <v>12</v>
      </c>
      <c r="H208" s="1">
        <v>0</v>
      </c>
      <c r="I208" s="1">
        <v>0</v>
      </c>
    </row>
    <row r="209" spans="1:9" x14ac:dyDescent="0.3">
      <c r="A209" s="10">
        <v>45955</v>
      </c>
      <c r="B209" s="1">
        <v>38</v>
      </c>
      <c r="C209" s="1">
        <v>18</v>
      </c>
      <c r="D209" s="1">
        <v>0</v>
      </c>
      <c r="E209" s="1">
        <v>3</v>
      </c>
      <c r="F209" s="1">
        <v>8</v>
      </c>
      <c r="G209" s="1">
        <v>6</v>
      </c>
      <c r="H209" s="1">
        <v>3</v>
      </c>
      <c r="I209" s="1">
        <v>0</v>
      </c>
    </row>
    <row r="210" spans="1:9" x14ac:dyDescent="0.3">
      <c r="A210" s="10">
        <v>45956</v>
      </c>
      <c r="B210" s="1">
        <v>11</v>
      </c>
      <c r="C210" s="1">
        <v>6</v>
      </c>
      <c r="D210" s="1">
        <v>0</v>
      </c>
      <c r="E210" s="1">
        <v>0</v>
      </c>
      <c r="F210" s="1">
        <v>10</v>
      </c>
      <c r="G210" s="1">
        <v>5</v>
      </c>
      <c r="H210" s="1">
        <v>0</v>
      </c>
      <c r="I210" s="1">
        <v>0</v>
      </c>
    </row>
    <row r="211" spans="1:9" x14ac:dyDescent="0.3">
      <c r="A211" s="10">
        <v>45957</v>
      </c>
      <c r="B211" s="1">
        <v>7</v>
      </c>
      <c r="C211" s="1">
        <v>0</v>
      </c>
      <c r="D211" s="1">
        <v>0</v>
      </c>
      <c r="E211" s="1">
        <v>0</v>
      </c>
      <c r="F211" s="1">
        <v>2</v>
      </c>
      <c r="G211" s="1">
        <v>5</v>
      </c>
      <c r="H211" s="1">
        <v>0</v>
      </c>
      <c r="I211" s="1">
        <v>0</v>
      </c>
    </row>
    <row r="212" spans="1:9" x14ac:dyDescent="0.3">
      <c r="A212" s="10">
        <v>45958</v>
      </c>
      <c r="B212" s="1">
        <v>5</v>
      </c>
      <c r="C212" s="1">
        <v>0</v>
      </c>
      <c r="D212" s="1">
        <v>0</v>
      </c>
      <c r="E212" s="1">
        <v>0</v>
      </c>
      <c r="F212" s="1">
        <v>0</v>
      </c>
      <c r="G212" s="1">
        <v>1</v>
      </c>
      <c r="H212" s="1">
        <v>0</v>
      </c>
      <c r="I212" s="1">
        <v>0</v>
      </c>
    </row>
    <row r="213" spans="1:9" x14ac:dyDescent="0.3">
      <c r="A213" s="10">
        <v>45959</v>
      </c>
      <c r="B213" s="1">
        <v>6</v>
      </c>
      <c r="C213" s="1">
        <v>1</v>
      </c>
      <c r="D213" s="1">
        <v>0</v>
      </c>
      <c r="E213" s="1">
        <v>1</v>
      </c>
      <c r="F213" s="1">
        <v>3</v>
      </c>
      <c r="G213" s="1">
        <v>5</v>
      </c>
      <c r="H213" s="1">
        <v>1</v>
      </c>
      <c r="I213" s="1">
        <v>0</v>
      </c>
    </row>
    <row r="214" spans="1:9" x14ac:dyDescent="0.3">
      <c r="A214" s="10">
        <v>45960</v>
      </c>
      <c r="B214" s="1">
        <v>2</v>
      </c>
      <c r="C214" s="1">
        <v>0</v>
      </c>
      <c r="D214" s="1">
        <v>0</v>
      </c>
      <c r="E214" s="1">
        <v>0</v>
      </c>
      <c r="F214" s="1">
        <v>2</v>
      </c>
      <c r="G214" s="1">
        <v>0</v>
      </c>
      <c r="H214" s="1">
        <v>0</v>
      </c>
      <c r="I214" s="1">
        <v>0</v>
      </c>
    </row>
    <row r="215" spans="1:9" x14ac:dyDescent="0.3">
      <c r="A215" s="10"/>
      <c r="B215" s="14"/>
      <c r="C215" s="14"/>
      <c r="D215" s="14"/>
      <c r="E215" s="14"/>
      <c r="F215" s="14"/>
      <c r="G215" s="14"/>
      <c r="H215" s="14"/>
      <c r="I215" s="14"/>
    </row>
    <row r="216" spans="1:9" x14ac:dyDescent="0.3">
      <c r="A216" s="10"/>
      <c r="B216" s="1"/>
      <c r="C216" s="1"/>
      <c r="D216" s="1"/>
      <c r="E216" s="1"/>
      <c r="F216" s="1"/>
      <c r="G216" s="1"/>
      <c r="H216" s="1"/>
      <c r="I216" s="1"/>
    </row>
    <row r="217" spans="1:9" x14ac:dyDescent="0.3">
      <c r="A217" s="10"/>
      <c r="B217" s="1"/>
      <c r="C217" s="1"/>
      <c r="D217" s="1"/>
      <c r="E217" s="1"/>
      <c r="F217" s="1"/>
      <c r="G217" s="1"/>
      <c r="H217" s="1"/>
      <c r="I217" s="1"/>
    </row>
    <row r="218" spans="1:9" x14ac:dyDescent="0.3">
      <c r="A218" s="10"/>
      <c r="B218" s="1"/>
      <c r="C218" s="1"/>
      <c r="D218" s="1"/>
      <c r="E218" s="1"/>
      <c r="F218" s="1"/>
      <c r="G218" s="1"/>
      <c r="H218" s="1"/>
      <c r="I218" s="1"/>
    </row>
    <row r="219" spans="1:9" x14ac:dyDescent="0.3">
      <c r="A219" s="10"/>
      <c r="B219" s="1"/>
      <c r="C219" s="1"/>
      <c r="D219" s="1"/>
      <c r="E219" s="1"/>
      <c r="F219" s="1"/>
      <c r="G219" s="1"/>
      <c r="H219" s="1"/>
      <c r="I219" s="1"/>
    </row>
    <row r="220" spans="1:9" x14ac:dyDescent="0.3">
      <c r="A220" s="10"/>
      <c r="B220" s="1"/>
      <c r="C220" s="1"/>
      <c r="D220" s="1"/>
      <c r="E220" s="1"/>
      <c r="F220" s="1"/>
      <c r="G220" s="1"/>
      <c r="H220" s="1"/>
      <c r="I220" s="1"/>
    </row>
    <row r="221" spans="1:9" x14ac:dyDescent="0.3">
      <c r="A221" s="10"/>
      <c r="B221" s="1"/>
      <c r="C221" s="1"/>
      <c r="D221" s="1"/>
      <c r="E221" s="1"/>
      <c r="F221" s="1"/>
      <c r="G221" s="1"/>
      <c r="H221" s="1"/>
      <c r="I221" s="1"/>
    </row>
    <row r="222" spans="1:9" x14ac:dyDescent="0.3">
      <c r="A222" s="10"/>
      <c r="B222" s="1"/>
      <c r="C222" s="1"/>
      <c r="D222" s="1"/>
      <c r="E222" s="1"/>
      <c r="F222" s="1"/>
      <c r="G222" s="1"/>
      <c r="H222" s="1"/>
      <c r="I222" s="1"/>
    </row>
    <row r="223" spans="1:9" x14ac:dyDescent="0.3">
      <c r="A223" s="10"/>
      <c r="B223" s="1"/>
      <c r="C223" s="1"/>
      <c r="D223" s="1"/>
      <c r="E223" s="1"/>
      <c r="F223" s="1"/>
      <c r="G223" s="1"/>
      <c r="H223" s="1"/>
      <c r="I223" s="1"/>
    </row>
    <row r="224" spans="1:9" x14ac:dyDescent="0.3">
      <c r="A224" s="10"/>
      <c r="B224" s="1"/>
      <c r="C224" s="1"/>
      <c r="D224" s="1"/>
      <c r="E224" s="1"/>
      <c r="F224" s="1"/>
      <c r="G224" s="1"/>
      <c r="H224" s="1"/>
      <c r="I224" s="1"/>
    </row>
    <row r="225" spans="1:9" x14ac:dyDescent="0.3">
      <c r="A225" s="10"/>
      <c r="B225" s="1"/>
      <c r="C225" s="1"/>
      <c r="D225" s="1"/>
      <c r="E225" s="1"/>
      <c r="F225" s="1"/>
      <c r="G225" s="1"/>
      <c r="H225" s="1"/>
      <c r="I225" s="1"/>
    </row>
    <row r="226" spans="1:9" x14ac:dyDescent="0.3">
      <c r="A226" s="10"/>
      <c r="B226" s="1"/>
      <c r="C226" s="1"/>
      <c r="D226" s="1"/>
      <c r="E226" s="1"/>
      <c r="F226" s="1"/>
      <c r="G226" s="1"/>
      <c r="H226" s="1"/>
      <c r="I226" s="1"/>
    </row>
    <row r="227" spans="1:9" x14ac:dyDescent="0.3">
      <c r="A227" s="10"/>
      <c r="B227" s="1"/>
      <c r="C227" s="1"/>
      <c r="D227" s="1"/>
      <c r="E227" s="1"/>
      <c r="F227" s="1"/>
      <c r="G227" s="1"/>
      <c r="H227" s="1"/>
      <c r="I227" s="1"/>
    </row>
    <row r="228" spans="1:9" x14ac:dyDescent="0.3">
      <c r="A228" s="10"/>
      <c r="B228" s="1"/>
      <c r="C228" s="1"/>
      <c r="D228" s="1"/>
      <c r="E228" s="1"/>
      <c r="F228" s="1"/>
      <c r="G228" s="1"/>
      <c r="H228" s="1"/>
      <c r="I228" s="1"/>
    </row>
    <row r="229" spans="1:9" x14ac:dyDescent="0.3">
      <c r="A229" s="10"/>
      <c r="B229" s="1"/>
      <c r="C229" s="1"/>
      <c r="D229" s="1"/>
      <c r="E229" s="1"/>
      <c r="F229" s="1"/>
      <c r="G229" s="1"/>
      <c r="H229" s="1"/>
      <c r="I229" s="1"/>
    </row>
    <row r="230" spans="1:9" x14ac:dyDescent="0.3">
      <c r="A230" s="10"/>
      <c r="B230" s="1"/>
      <c r="C230" s="1"/>
      <c r="D230" s="1"/>
      <c r="E230" s="1"/>
      <c r="F230" s="1"/>
      <c r="G230" s="1"/>
      <c r="H230" s="1"/>
      <c r="I230" s="1"/>
    </row>
    <row r="231" spans="1:9" x14ac:dyDescent="0.3">
      <c r="A231" s="10"/>
      <c r="B231" s="1"/>
      <c r="C231" s="1"/>
      <c r="D231" s="1"/>
      <c r="E231" s="1"/>
      <c r="F231" s="1"/>
      <c r="G231" s="1"/>
      <c r="H231" s="1"/>
      <c r="I231" s="1"/>
    </row>
    <row r="232" spans="1:9" x14ac:dyDescent="0.3">
      <c r="A232" s="10"/>
      <c r="B232" s="1"/>
      <c r="C232" s="1"/>
      <c r="D232" s="1"/>
      <c r="E232" s="1"/>
      <c r="F232" s="1"/>
      <c r="G232" s="1"/>
      <c r="H232" s="1"/>
      <c r="I232" s="1"/>
    </row>
    <row r="233" spans="1:9" x14ac:dyDescent="0.3">
      <c r="A233" s="10"/>
      <c r="B233" s="1"/>
      <c r="C233" s="1"/>
      <c r="D233" s="1"/>
      <c r="E233" s="1"/>
      <c r="F233" s="1"/>
      <c r="G233" s="1"/>
      <c r="H233" s="1"/>
      <c r="I233" s="1"/>
    </row>
    <row r="234" spans="1:9" x14ac:dyDescent="0.3">
      <c r="A234" s="10"/>
      <c r="B234" s="1"/>
      <c r="C234" s="1"/>
      <c r="D234" s="1"/>
      <c r="E234" s="1"/>
      <c r="F234" s="1"/>
      <c r="G234" s="1"/>
      <c r="H234" s="1"/>
      <c r="I234" s="1"/>
    </row>
    <row r="235" spans="1:9" x14ac:dyDescent="0.3">
      <c r="A235" s="10"/>
      <c r="B235" s="1"/>
      <c r="C235" s="1"/>
      <c r="D235" s="1"/>
      <c r="E235" s="1"/>
      <c r="F235" s="1"/>
      <c r="G235" s="1"/>
      <c r="H235" s="1"/>
      <c r="I235" s="1"/>
    </row>
    <row r="236" spans="1:9" x14ac:dyDescent="0.3">
      <c r="A236" s="10"/>
      <c r="B236" s="1"/>
      <c r="C236" s="1"/>
      <c r="D236" s="1"/>
      <c r="E236" s="1"/>
      <c r="F236" s="1"/>
      <c r="G236" s="1"/>
      <c r="H236" s="1"/>
      <c r="I236" s="1"/>
    </row>
    <row r="237" spans="1:9" x14ac:dyDescent="0.3">
      <c r="A237" s="10"/>
      <c r="B237" s="1"/>
      <c r="C237" s="1"/>
      <c r="D237" s="1"/>
      <c r="E237" s="1"/>
      <c r="F237" s="1"/>
      <c r="G237" s="1"/>
      <c r="H237" s="1"/>
      <c r="I237" s="1"/>
    </row>
    <row r="238" spans="1:9" x14ac:dyDescent="0.3">
      <c r="A238" s="10"/>
      <c r="B238" s="1"/>
      <c r="C238" s="1"/>
      <c r="D238" s="1"/>
      <c r="E238" s="1"/>
      <c r="F238" s="1"/>
      <c r="G238" s="1"/>
      <c r="H238" s="1"/>
      <c r="I238" s="1"/>
    </row>
    <row r="239" spans="1:9" x14ac:dyDescent="0.3">
      <c r="A239" s="10"/>
      <c r="B239" s="1"/>
      <c r="C239" s="1"/>
      <c r="D239" s="1"/>
      <c r="E239" s="1"/>
      <c r="F239" s="1"/>
      <c r="G239" s="1"/>
      <c r="H239" s="1"/>
      <c r="I239" s="1"/>
    </row>
    <row r="240" spans="1:9" x14ac:dyDescent="0.3">
      <c r="A240" s="10"/>
      <c r="B240" s="1"/>
      <c r="C240" s="1"/>
      <c r="D240" s="1"/>
      <c r="E240" s="1"/>
      <c r="F240" s="1"/>
      <c r="G240" s="1"/>
      <c r="H240" s="1"/>
      <c r="I240" s="1"/>
    </row>
    <row r="241" spans="2:9" x14ac:dyDescent="0.3">
      <c r="B241" s="1"/>
      <c r="C241" s="1"/>
      <c r="D241" s="1"/>
      <c r="E241" s="1"/>
      <c r="F241" s="1"/>
      <c r="G241" s="1"/>
      <c r="H241" s="1"/>
      <c r="I241" s="1"/>
    </row>
  </sheetData>
  <pageMargins left="0.7" right="0.7" top="0.75" bottom="0.75" header="0.3" footer="0.3"/>
  <headerFooter>
    <oddHeader>&amp;R&amp;"Calibri"&amp;12&amp;K000000 Unclassified - Non-Classifié&amp;1#_x000D_</oddHead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N220"/>
  <sheetViews>
    <sheetView tabSelected="1" workbookViewId="0">
      <pane ySplit="1" topLeftCell="A200" activePane="bottomLeft" state="frozen"/>
      <selection pane="bottomLeft" activeCell="K209" sqref="K209:AN214"/>
    </sheetView>
  </sheetViews>
  <sheetFormatPr defaultRowHeight="14.4" x14ac:dyDescent="0.3"/>
  <cols>
    <col min="1" max="1" width="13.33203125" style="8" customWidth="1"/>
    <col min="2" max="9" width="10.33203125" customWidth="1"/>
  </cols>
  <sheetData>
    <row r="1" spans="1:40" s="3" customFormat="1" ht="31.2" x14ac:dyDescent="0.3">
      <c r="A1" s="7" t="s">
        <v>2</v>
      </c>
      <c r="B1" s="4" t="s">
        <v>3</v>
      </c>
      <c r="C1" s="4" t="s">
        <v>4</v>
      </c>
      <c r="D1" s="4" t="s">
        <v>5</v>
      </c>
      <c r="E1" s="4" t="s">
        <v>6</v>
      </c>
      <c r="F1" s="4" t="s">
        <v>7</v>
      </c>
      <c r="G1" s="4" t="s">
        <v>8</v>
      </c>
      <c r="H1" s="4" t="s">
        <v>9</v>
      </c>
      <c r="I1" s="4" t="s">
        <v>10</v>
      </c>
      <c r="K1" s="19" t="s">
        <v>13</v>
      </c>
      <c r="L1" s="19" t="s">
        <v>14</v>
      </c>
      <c r="M1" s="19" t="s">
        <v>15</v>
      </c>
      <c r="N1" s="19" t="s">
        <v>16</v>
      </c>
      <c r="O1" s="19" t="s">
        <v>17</v>
      </c>
      <c r="P1" s="19" t="s">
        <v>18</v>
      </c>
      <c r="Q1" s="19" t="s">
        <v>19</v>
      </c>
      <c r="R1" s="19" t="s">
        <v>20</v>
      </c>
      <c r="S1" s="19" t="s">
        <v>21</v>
      </c>
      <c r="T1" s="19" t="s">
        <v>22</v>
      </c>
      <c r="U1" s="19" t="s">
        <v>23</v>
      </c>
      <c r="V1" s="19" t="s">
        <v>24</v>
      </c>
      <c r="W1" s="19" t="s">
        <v>25</v>
      </c>
      <c r="X1" s="19" t="s">
        <v>26</v>
      </c>
      <c r="Y1" s="19" t="s">
        <v>27</v>
      </c>
      <c r="Z1" s="19" t="s">
        <v>28</v>
      </c>
      <c r="AA1" s="19" t="s">
        <v>29</v>
      </c>
      <c r="AB1" s="19" t="s">
        <v>30</v>
      </c>
      <c r="AC1" s="19" t="s">
        <v>31</v>
      </c>
      <c r="AD1" s="19" t="s">
        <v>32</v>
      </c>
      <c r="AE1" s="19" t="s">
        <v>33</v>
      </c>
      <c r="AF1" s="19" t="s">
        <v>34</v>
      </c>
      <c r="AG1" s="19" t="s">
        <v>35</v>
      </c>
      <c r="AH1" s="19" t="s">
        <v>36</v>
      </c>
      <c r="AI1" s="19" t="s">
        <v>37</v>
      </c>
      <c r="AJ1" s="19" t="s">
        <v>38</v>
      </c>
      <c r="AK1" s="19" t="s">
        <v>39</v>
      </c>
      <c r="AL1" s="19" t="s">
        <v>40</v>
      </c>
      <c r="AM1" s="19" t="s">
        <v>41</v>
      </c>
      <c r="AN1" s="19" t="s">
        <v>42</v>
      </c>
    </row>
    <row r="2" spans="1:40" s="3" customFormat="1" x14ac:dyDescent="0.3">
      <c r="A2" s="10">
        <v>45748</v>
      </c>
      <c r="B2" s="1">
        <v>0</v>
      </c>
      <c r="C2" s="1">
        <v>0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/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  <c r="AB2" s="1">
        <v>0</v>
      </c>
      <c r="AC2" s="1">
        <v>0</v>
      </c>
      <c r="AD2" s="1">
        <v>0</v>
      </c>
      <c r="AE2" s="1">
        <v>0</v>
      </c>
      <c r="AF2" s="1">
        <v>0</v>
      </c>
      <c r="AG2" s="1">
        <v>0</v>
      </c>
      <c r="AH2" s="1">
        <v>0</v>
      </c>
      <c r="AI2" s="1">
        <v>0</v>
      </c>
      <c r="AJ2" s="1">
        <v>0</v>
      </c>
      <c r="AK2" s="1">
        <v>0</v>
      </c>
      <c r="AL2" s="1">
        <v>0</v>
      </c>
      <c r="AM2" s="1">
        <v>0</v>
      </c>
      <c r="AN2" s="1">
        <v>0</v>
      </c>
    </row>
    <row r="3" spans="1:40" x14ac:dyDescent="0.3">
      <c r="A3" s="10">
        <v>45749</v>
      </c>
      <c r="B3" s="1">
        <v>0</v>
      </c>
      <c r="C3" s="1">
        <v>0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/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  <c r="AG3" s="1">
        <v>0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0</v>
      </c>
      <c r="AN3" s="1">
        <v>0</v>
      </c>
    </row>
    <row r="4" spans="1:40" x14ac:dyDescent="0.3">
      <c r="A4" s="10">
        <v>45750</v>
      </c>
      <c r="B4" s="1">
        <v>0</v>
      </c>
      <c r="C4" s="1">
        <v>0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/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0</v>
      </c>
      <c r="AH4" s="1">
        <v>0</v>
      </c>
      <c r="AI4" s="1">
        <v>0</v>
      </c>
      <c r="AJ4" s="1">
        <v>0</v>
      </c>
      <c r="AK4" s="1">
        <v>0</v>
      </c>
      <c r="AL4" s="1">
        <v>0</v>
      </c>
      <c r="AM4" s="1">
        <v>0</v>
      </c>
      <c r="AN4" s="1">
        <v>0</v>
      </c>
    </row>
    <row r="5" spans="1:40" x14ac:dyDescent="0.3">
      <c r="A5" s="10">
        <v>45751</v>
      </c>
      <c r="B5" s="1">
        <v>0</v>
      </c>
      <c r="C5" s="1">
        <v>0</v>
      </c>
      <c r="D5" s="1">
        <v>0</v>
      </c>
      <c r="E5" s="1">
        <v>0</v>
      </c>
      <c r="F5" s="1">
        <v>0</v>
      </c>
      <c r="G5" s="1">
        <v>0</v>
      </c>
      <c r="H5" s="1">
        <v>1</v>
      </c>
      <c r="I5" s="1">
        <v>0</v>
      </c>
      <c r="J5" s="1"/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1">
        <v>0</v>
      </c>
      <c r="AI5" s="1">
        <v>0</v>
      </c>
      <c r="AJ5" s="1">
        <v>0</v>
      </c>
      <c r="AK5" s="1">
        <v>1</v>
      </c>
      <c r="AL5" s="1">
        <v>0</v>
      </c>
      <c r="AM5" s="1">
        <v>0</v>
      </c>
      <c r="AN5" s="1">
        <v>0</v>
      </c>
    </row>
    <row r="6" spans="1:40" x14ac:dyDescent="0.3">
      <c r="A6" s="10">
        <v>45752</v>
      </c>
      <c r="B6" s="1">
        <v>0</v>
      </c>
      <c r="C6" s="1">
        <v>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/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1">
        <v>0</v>
      </c>
      <c r="AL6" s="1">
        <v>0</v>
      </c>
      <c r="AM6" s="1">
        <v>0</v>
      </c>
      <c r="AN6" s="1">
        <v>0</v>
      </c>
    </row>
    <row r="7" spans="1:40" x14ac:dyDescent="0.3">
      <c r="A7" s="10">
        <v>45753</v>
      </c>
      <c r="B7" s="1">
        <v>0</v>
      </c>
      <c r="C7" s="1">
        <v>0</v>
      </c>
      <c r="D7" s="1">
        <v>0</v>
      </c>
      <c r="E7" s="1">
        <v>0</v>
      </c>
      <c r="F7" s="1">
        <v>0</v>
      </c>
      <c r="G7" s="1">
        <v>0</v>
      </c>
      <c r="H7" s="1">
        <v>0.25</v>
      </c>
      <c r="I7" s="1">
        <v>0</v>
      </c>
      <c r="J7" s="1"/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  <c r="AG7" s="1">
        <v>0</v>
      </c>
      <c r="AH7" s="1">
        <v>0</v>
      </c>
      <c r="AI7" s="1">
        <v>0</v>
      </c>
      <c r="AJ7" s="1">
        <v>0.25</v>
      </c>
      <c r="AK7" s="1">
        <v>0</v>
      </c>
      <c r="AL7" s="1">
        <v>0</v>
      </c>
      <c r="AM7" s="1">
        <v>0</v>
      </c>
      <c r="AN7" s="1">
        <v>0</v>
      </c>
    </row>
    <row r="8" spans="1:40" x14ac:dyDescent="0.3">
      <c r="A8" s="10">
        <v>45754</v>
      </c>
      <c r="B8" s="1">
        <v>0</v>
      </c>
      <c r="C8" s="1">
        <v>0</v>
      </c>
      <c r="D8" s="1">
        <v>0</v>
      </c>
      <c r="E8" s="1">
        <v>0</v>
      </c>
      <c r="F8" s="1">
        <v>0</v>
      </c>
      <c r="G8" s="1">
        <v>0</v>
      </c>
      <c r="H8" s="1">
        <v>0.5</v>
      </c>
      <c r="I8" s="1">
        <v>0</v>
      </c>
      <c r="J8" s="1"/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>
        <v>0.5</v>
      </c>
      <c r="AK8" s="1">
        <v>0</v>
      </c>
      <c r="AL8" s="1">
        <v>0</v>
      </c>
      <c r="AM8" s="1">
        <v>0</v>
      </c>
      <c r="AN8" s="1">
        <v>0</v>
      </c>
    </row>
    <row r="9" spans="1:40" x14ac:dyDescent="0.3">
      <c r="A9" s="10">
        <v>45755</v>
      </c>
      <c r="B9" s="1">
        <v>0</v>
      </c>
      <c r="C9" s="1">
        <v>0</v>
      </c>
      <c r="D9" s="1">
        <v>0</v>
      </c>
      <c r="E9" s="1">
        <v>0</v>
      </c>
      <c r="F9" s="1">
        <v>0</v>
      </c>
      <c r="G9" s="1">
        <v>0</v>
      </c>
      <c r="H9" s="1">
        <v>0.75</v>
      </c>
      <c r="I9" s="1">
        <v>0</v>
      </c>
      <c r="J9" s="1"/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1">
        <v>0</v>
      </c>
      <c r="AG9" s="1">
        <v>0</v>
      </c>
      <c r="AH9" s="1">
        <v>0</v>
      </c>
      <c r="AI9" s="1">
        <v>0</v>
      </c>
      <c r="AJ9" s="1">
        <v>0.75</v>
      </c>
      <c r="AK9" s="1">
        <v>0</v>
      </c>
      <c r="AL9" s="1">
        <v>0</v>
      </c>
      <c r="AM9" s="1">
        <v>0</v>
      </c>
      <c r="AN9" s="1">
        <v>0</v>
      </c>
    </row>
    <row r="10" spans="1:40" x14ac:dyDescent="0.3">
      <c r="A10" s="10">
        <v>45756</v>
      </c>
      <c r="B10" s="1">
        <v>0</v>
      </c>
      <c r="C10" s="1">
        <v>0</v>
      </c>
      <c r="D10" s="1">
        <v>0</v>
      </c>
      <c r="E10" s="1">
        <v>0</v>
      </c>
      <c r="F10" s="1">
        <v>0</v>
      </c>
      <c r="G10" s="1">
        <v>0</v>
      </c>
      <c r="H10" s="1">
        <v>1</v>
      </c>
      <c r="I10" s="1">
        <v>0</v>
      </c>
      <c r="J10" s="1"/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1">
        <v>0</v>
      </c>
      <c r="AG10" s="1">
        <v>0</v>
      </c>
      <c r="AH10" s="1">
        <v>0</v>
      </c>
      <c r="AI10" s="1">
        <v>0</v>
      </c>
      <c r="AJ10" s="1">
        <v>1</v>
      </c>
      <c r="AK10" s="1">
        <v>0</v>
      </c>
      <c r="AL10" s="1">
        <v>0</v>
      </c>
      <c r="AM10" s="1">
        <v>0</v>
      </c>
      <c r="AN10" s="1">
        <v>0</v>
      </c>
    </row>
    <row r="11" spans="1:40" x14ac:dyDescent="0.3">
      <c r="A11" s="10">
        <v>45757</v>
      </c>
      <c r="B11" s="1">
        <v>0</v>
      </c>
      <c r="C11" s="1">
        <v>0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/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0</v>
      </c>
      <c r="AE11" s="1">
        <v>0</v>
      </c>
      <c r="AF11" s="1">
        <v>0</v>
      </c>
      <c r="AG11" s="1">
        <v>0</v>
      </c>
      <c r="AH11" s="1">
        <v>0</v>
      </c>
      <c r="AI11" s="1">
        <v>0</v>
      </c>
      <c r="AJ11" s="1">
        <v>0</v>
      </c>
      <c r="AK11" s="1">
        <v>0</v>
      </c>
      <c r="AL11" s="1">
        <v>0</v>
      </c>
      <c r="AM11" s="1">
        <v>0</v>
      </c>
      <c r="AN11" s="1">
        <v>0</v>
      </c>
    </row>
    <row r="12" spans="1:40" x14ac:dyDescent="0.3">
      <c r="A12" s="10">
        <v>45758</v>
      </c>
      <c r="B12" s="1">
        <v>0</v>
      </c>
      <c r="C12" s="1">
        <v>0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/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1">
        <v>0</v>
      </c>
      <c r="AI12" s="1">
        <v>0</v>
      </c>
      <c r="AJ12" s="1">
        <v>0</v>
      </c>
      <c r="AK12" s="1">
        <v>0</v>
      </c>
      <c r="AL12" s="1">
        <v>0</v>
      </c>
      <c r="AM12" s="1">
        <v>0</v>
      </c>
      <c r="AN12" s="1">
        <v>0</v>
      </c>
    </row>
    <row r="13" spans="1:40" x14ac:dyDescent="0.3">
      <c r="A13" s="10">
        <v>45759</v>
      </c>
      <c r="B13" s="1">
        <v>0</v>
      </c>
      <c r="C13" s="1">
        <v>0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/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1">
        <v>0</v>
      </c>
      <c r="AI13" s="1">
        <v>0</v>
      </c>
      <c r="AJ13" s="1">
        <v>0</v>
      </c>
      <c r="AK13" s="1">
        <v>0</v>
      </c>
      <c r="AL13" s="1">
        <v>0</v>
      </c>
      <c r="AM13" s="1">
        <v>0</v>
      </c>
      <c r="AN13" s="1">
        <v>0</v>
      </c>
    </row>
    <row r="14" spans="1:40" x14ac:dyDescent="0.3">
      <c r="A14" s="10">
        <v>45760</v>
      </c>
      <c r="B14" s="1">
        <v>0</v>
      </c>
      <c r="C14" s="1">
        <v>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/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D14" s="1">
        <v>0</v>
      </c>
      <c r="AE14" s="1">
        <v>0</v>
      </c>
      <c r="AF14" s="1">
        <v>0</v>
      </c>
      <c r="AG14" s="1">
        <v>0</v>
      </c>
      <c r="AH14" s="1">
        <v>0</v>
      </c>
      <c r="AI14" s="1">
        <v>0</v>
      </c>
      <c r="AJ14" s="1">
        <v>0</v>
      </c>
      <c r="AK14" s="1">
        <v>0</v>
      </c>
      <c r="AL14" s="1">
        <v>0</v>
      </c>
      <c r="AM14" s="1">
        <v>0</v>
      </c>
      <c r="AN14" s="1">
        <v>0</v>
      </c>
    </row>
    <row r="15" spans="1:40" x14ac:dyDescent="0.3">
      <c r="A15" s="10">
        <v>45761</v>
      </c>
      <c r="B15" s="1">
        <v>0</v>
      </c>
      <c r="C15" s="1">
        <v>0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/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J15" s="1">
        <v>0</v>
      </c>
      <c r="AK15" s="1">
        <v>0</v>
      </c>
      <c r="AL15" s="1">
        <v>0</v>
      </c>
      <c r="AM15" s="1">
        <v>0</v>
      </c>
      <c r="AN15" s="1">
        <v>0</v>
      </c>
    </row>
    <row r="16" spans="1:40" x14ac:dyDescent="0.3">
      <c r="A16" s="10">
        <v>45762</v>
      </c>
      <c r="B16" s="1">
        <v>0</v>
      </c>
      <c r="C16" s="1">
        <v>0</v>
      </c>
      <c r="D16" s="1">
        <v>0</v>
      </c>
      <c r="E16" s="1">
        <v>0</v>
      </c>
      <c r="F16" s="1">
        <v>0</v>
      </c>
      <c r="G16" s="1">
        <v>0</v>
      </c>
      <c r="H16" s="1">
        <v>3</v>
      </c>
      <c r="I16" s="1">
        <v>1</v>
      </c>
      <c r="J16" s="1"/>
      <c r="K16" s="1">
        <v>0</v>
      </c>
      <c r="L16" s="1">
        <v>1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0</v>
      </c>
      <c r="AD16" s="1">
        <v>0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J16" s="1">
        <v>3</v>
      </c>
      <c r="AK16" s="1">
        <v>0</v>
      </c>
      <c r="AL16" s="1">
        <v>0</v>
      </c>
      <c r="AM16" s="1">
        <v>0</v>
      </c>
      <c r="AN16" s="1">
        <v>1</v>
      </c>
    </row>
    <row r="17" spans="1:40" x14ac:dyDescent="0.3">
      <c r="A17" s="10">
        <v>45763</v>
      </c>
      <c r="B17" s="1">
        <v>0</v>
      </c>
      <c r="C17" s="1">
        <v>0</v>
      </c>
      <c r="D17" s="1">
        <v>0</v>
      </c>
      <c r="E17" s="1">
        <v>0</v>
      </c>
      <c r="F17" s="1">
        <v>0</v>
      </c>
      <c r="G17" s="1">
        <v>0</v>
      </c>
      <c r="H17" s="1">
        <v>8</v>
      </c>
      <c r="I17" s="1">
        <v>0</v>
      </c>
      <c r="J17" s="1"/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">
        <v>0</v>
      </c>
      <c r="AE17" s="1">
        <v>0</v>
      </c>
      <c r="AF17" s="1">
        <v>0</v>
      </c>
      <c r="AG17" s="1">
        <v>0</v>
      </c>
      <c r="AH17" s="1">
        <v>0</v>
      </c>
      <c r="AI17" s="1">
        <v>0</v>
      </c>
      <c r="AJ17" s="1">
        <v>7</v>
      </c>
      <c r="AK17" s="1">
        <v>1</v>
      </c>
      <c r="AL17" s="1">
        <v>0</v>
      </c>
      <c r="AM17" s="1">
        <v>0</v>
      </c>
      <c r="AN17" s="1">
        <v>0</v>
      </c>
    </row>
    <row r="18" spans="1:40" x14ac:dyDescent="0.3">
      <c r="A18" s="10">
        <v>45764</v>
      </c>
      <c r="B18" s="1">
        <v>0</v>
      </c>
      <c r="C18" s="1">
        <v>0</v>
      </c>
      <c r="D18" s="1">
        <v>0</v>
      </c>
      <c r="E18" s="1">
        <v>0</v>
      </c>
      <c r="F18" s="1">
        <v>0</v>
      </c>
      <c r="G18" s="1">
        <v>0</v>
      </c>
      <c r="H18" s="1">
        <v>4</v>
      </c>
      <c r="I18" s="1">
        <v>1</v>
      </c>
      <c r="J18" s="1"/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  <c r="AD18" s="1">
        <v>0</v>
      </c>
      <c r="AE18" s="1">
        <v>0</v>
      </c>
      <c r="AF18" s="1">
        <v>0</v>
      </c>
      <c r="AG18" s="1">
        <v>0</v>
      </c>
      <c r="AH18" s="1">
        <v>0</v>
      </c>
      <c r="AI18" s="1">
        <v>0</v>
      </c>
      <c r="AJ18" s="1">
        <v>4</v>
      </c>
      <c r="AK18" s="1">
        <v>0</v>
      </c>
      <c r="AL18" s="1">
        <v>0</v>
      </c>
      <c r="AM18" s="1">
        <v>1</v>
      </c>
      <c r="AN18" s="1">
        <v>0</v>
      </c>
    </row>
    <row r="19" spans="1:40" x14ac:dyDescent="0.3">
      <c r="A19" s="10">
        <v>45765</v>
      </c>
      <c r="B19" s="1">
        <v>0</v>
      </c>
      <c r="C19" s="1">
        <v>0</v>
      </c>
      <c r="D19" s="1">
        <v>0</v>
      </c>
      <c r="E19" s="1">
        <v>0</v>
      </c>
      <c r="F19" s="1">
        <v>0</v>
      </c>
      <c r="G19" s="1">
        <v>0</v>
      </c>
      <c r="H19" s="1">
        <v>2</v>
      </c>
      <c r="I19" s="1">
        <v>0</v>
      </c>
      <c r="J19" s="1"/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J19" s="1">
        <v>2</v>
      </c>
      <c r="AK19" s="1">
        <v>0</v>
      </c>
      <c r="AL19" s="1">
        <v>0</v>
      </c>
      <c r="AM19" s="1">
        <v>0</v>
      </c>
      <c r="AN19" s="1">
        <v>0</v>
      </c>
    </row>
    <row r="20" spans="1:40" x14ac:dyDescent="0.3">
      <c r="A20" s="10">
        <v>45766</v>
      </c>
      <c r="B20" s="1">
        <v>0</v>
      </c>
      <c r="C20" s="1">
        <v>0</v>
      </c>
      <c r="D20" s="1">
        <v>0</v>
      </c>
      <c r="E20" s="1">
        <v>0</v>
      </c>
      <c r="F20" s="1">
        <v>0</v>
      </c>
      <c r="G20" s="1">
        <v>0</v>
      </c>
      <c r="H20" s="1">
        <v>9</v>
      </c>
      <c r="I20" s="1">
        <v>1</v>
      </c>
      <c r="J20" s="1"/>
      <c r="K20" s="1">
        <v>0</v>
      </c>
      <c r="L20" s="1">
        <v>2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1">
        <v>9</v>
      </c>
      <c r="AK20" s="1">
        <v>0</v>
      </c>
      <c r="AL20" s="1">
        <v>0</v>
      </c>
      <c r="AM20" s="1">
        <v>1</v>
      </c>
      <c r="AN20" s="1">
        <v>0</v>
      </c>
    </row>
    <row r="21" spans="1:40" x14ac:dyDescent="0.3">
      <c r="A21" s="10">
        <v>45767</v>
      </c>
      <c r="B21" s="1">
        <v>0</v>
      </c>
      <c r="C21" s="1">
        <v>0</v>
      </c>
      <c r="D21" s="1">
        <v>0</v>
      </c>
      <c r="E21" s="1">
        <v>0</v>
      </c>
      <c r="F21" s="1">
        <v>0</v>
      </c>
      <c r="G21" s="1">
        <v>0</v>
      </c>
      <c r="H21" s="1">
        <v>4</v>
      </c>
      <c r="I21" s="1">
        <v>0</v>
      </c>
      <c r="J21" s="1"/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4</v>
      </c>
      <c r="AK21" s="1">
        <v>0</v>
      </c>
      <c r="AL21" s="1">
        <v>0</v>
      </c>
      <c r="AM21" s="1">
        <v>0</v>
      </c>
      <c r="AN21" s="1">
        <v>0</v>
      </c>
    </row>
    <row r="22" spans="1:40" x14ac:dyDescent="0.3">
      <c r="A22" s="10">
        <v>45768</v>
      </c>
      <c r="B22" s="1">
        <v>0</v>
      </c>
      <c r="C22" s="1">
        <v>0</v>
      </c>
      <c r="D22" s="1">
        <v>0</v>
      </c>
      <c r="E22" s="1">
        <v>0</v>
      </c>
      <c r="F22" s="1">
        <v>0</v>
      </c>
      <c r="G22" s="1">
        <v>0</v>
      </c>
      <c r="H22" s="1">
        <v>6</v>
      </c>
      <c r="I22" s="1">
        <v>0</v>
      </c>
      <c r="J22" s="1"/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1">
        <v>0</v>
      </c>
      <c r="AH22" s="1">
        <v>0</v>
      </c>
      <c r="AI22" s="1">
        <v>0</v>
      </c>
      <c r="AJ22" s="1">
        <v>6</v>
      </c>
      <c r="AK22" s="1">
        <v>0</v>
      </c>
      <c r="AL22" s="1">
        <v>0</v>
      </c>
      <c r="AM22" s="1">
        <v>0</v>
      </c>
      <c r="AN22" s="1">
        <v>0</v>
      </c>
    </row>
    <row r="23" spans="1:40" x14ac:dyDescent="0.3">
      <c r="A23" s="10">
        <v>45769</v>
      </c>
      <c r="B23" s="1">
        <v>0</v>
      </c>
      <c r="C23" s="1">
        <v>0</v>
      </c>
      <c r="D23" s="1">
        <v>0</v>
      </c>
      <c r="E23" s="1">
        <v>0</v>
      </c>
      <c r="F23" s="1">
        <v>0</v>
      </c>
      <c r="G23" s="1">
        <v>0</v>
      </c>
      <c r="H23" s="1">
        <v>5</v>
      </c>
      <c r="I23" s="1">
        <v>0</v>
      </c>
      <c r="J23" s="1"/>
      <c r="K23" s="1">
        <v>0</v>
      </c>
      <c r="L23" s="1">
        <v>1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1">
        <v>4</v>
      </c>
      <c r="AK23" s="1">
        <v>1</v>
      </c>
      <c r="AL23" s="1">
        <v>0</v>
      </c>
      <c r="AM23" s="1">
        <v>0</v>
      </c>
      <c r="AN23" s="1">
        <v>0</v>
      </c>
    </row>
    <row r="24" spans="1:40" x14ac:dyDescent="0.3">
      <c r="A24" s="10">
        <v>45770</v>
      </c>
      <c r="B24" s="1">
        <v>0</v>
      </c>
      <c r="C24" s="1">
        <v>0</v>
      </c>
      <c r="D24" s="1">
        <v>0</v>
      </c>
      <c r="E24" s="1">
        <v>0</v>
      </c>
      <c r="F24" s="1">
        <v>0</v>
      </c>
      <c r="G24" s="1">
        <v>0</v>
      </c>
      <c r="H24" s="1">
        <v>4</v>
      </c>
      <c r="I24" s="1">
        <v>0</v>
      </c>
      <c r="J24" s="1"/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J24" s="1">
        <v>4</v>
      </c>
      <c r="AK24" s="1">
        <v>0</v>
      </c>
      <c r="AL24" s="1">
        <v>0</v>
      </c>
      <c r="AM24" s="1">
        <v>0</v>
      </c>
      <c r="AN24" s="1">
        <v>0</v>
      </c>
    </row>
    <row r="25" spans="1:40" x14ac:dyDescent="0.3">
      <c r="A25" s="10">
        <v>45771</v>
      </c>
      <c r="B25" s="1">
        <v>0</v>
      </c>
      <c r="C25" s="1">
        <v>0</v>
      </c>
      <c r="D25" s="1">
        <v>0</v>
      </c>
      <c r="E25" s="1">
        <v>0</v>
      </c>
      <c r="F25" s="1">
        <v>0</v>
      </c>
      <c r="G25" s="1">
        <v>0</v>
      </c>
      <c r="H25" s="1">
        <v>3</v>
      </c>
      <c r="I25" s="1">
        <v>0</v>
      </c>
      <c r="J25" s="1"/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>
        <v>0</v>
      </c>
      <c r="AG25" s="1">
        <v>0</v>
      </c>
      <c r="AH25" s="1">
        <v>0</v>
      </c>
      <c r="AI25" s="1">
        <v>0</v>
      </c>
      <c r="AJ25" s="1">
        <v>3</v>
      </c>
      <c r="AK25" s="1">
        <v>0</v>
      </c>
      <c r="AL25" s="1">
        <v>0</v>
      </c>
      <c r="AM25" s="1">
        <v>0</v>
      </c>
      <c r="AN25" s="1">
        <v>0</v>
      </c>
    </row>
    <row r="26" spans="1:40" x14ac:dyDescent="0.3">
      <c r="A26" s="10">
        <v>45772</v>
      </c>
      <c r="B26" s="1">
        <v>0</v>
      </c>
      <c r="C26" s="1">
        <v>0</v>
      </c>
      <c r="D26" s="1">
        <v>0</v>
      </c>
      <c r="E26" s="1">
        <v>0</v>
      </c>
      <c r="F26" s="1">
        <v>0</v>
      </c>
      <c r="G26" s="1">
        <v>0</v>
      </c>
      <c r="H26" s="1">
        <v>1</v>
      </c>
      <c r="I26" s="1">
        <v>0</v>
      </c>
      <c r="J26" s="1"/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>
        <v>1</v>
      </c>
      <c r="AK26" s="1">
        <v>0</v>
      </c>
      <c r="AL26" s="1">
        <v>0</v>
      </c>
      <c r="AM26" s="1">
        <v>0</v>
      </c>
      <c r="AN26" s="1">
        <v>0</v>
      </c>
    </row>
    <row r="27" spans="1:40" x14ac:dyDescent="0.3">
      <c r="A27" s="10">
        <v>45773</v>
      </c>
      <c r="B27" s="1">
        <v>0</v>
      </c>
      <c r="C27" s="1">
        <v>0</v>
      </c>
      <c r="D27" s="1">
        <v>0</v>
      </c>
      <c r="E27" s="1">
        <v>0</v>
      </c>
      <c r="F27" s="1">
        <v>0</v>
      </c>
      <c r="G27" s="1">
        <v>0</v>
      </c>
      <c r="H27" s="1">
        <v>9</v>
      </c>
      <c r="I27" s="1">
        <v>0</v>
      </c>
      <c r="J27" s="1"/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0</v>
      </c>
      <c r="AG27" s="1">
        <v>0</v>
      </c>
      <c r="AH27" s="1">
        <v>0</v>
      </c>
      <c r="AI27" s="1">
        <v>0</v>
      </c>
      <c r="AJ27" s="1">
        <v>8</v>
      </c>
      <c r="AK27" s="1">
        <v>1</v>
      </c>
      <c r="AL27" s="1">
        <v>0</v>
      </c>
      <c r="AM27" s="1">
        <v>0</v>
      </c>
      <c r="AN27" s="1">
        <v>0</v>
      </c>
    </row>
    <row r="28" spans="1:40" x14ac:dyDescent="0.3">
      <c r="A28" s="10">
        <v>45774</v>
      </c>
      <c r="B28" s="1">
        <v>0</v>
      </c>
      <c r="C28" s="1">
        <v>0</v>
      </c>
      <c r="D28" s="1">
        <v>0</v>
      </c>
      <c r="E28" s="1">
        <v>0</v>
      </c>
      <c r="F28" s="1">
        <v>0</v>
      </c>
      <c r="G28" s="1">
        <v>0</v>
      </c>
      <c r="H28" s="1">
        <v>2</v>
      </c>
      <c r="I28" s="1">
        <v>0</v>
      </c>
      <c r="J28" s="1"/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  <c r="AE28" s="1">
        <v>0</v>
      </c>
      <c r="AF28" s="1">
        <v>0</v>
      </c>
      <c r="AG28" s="1">
        <v>0</v>
      </c>
      <c r="AH28" s="1">
        <v>0</v>
      </c>
      <c r="AI28" s="1">
        <v>0</v>
      </c>
      <c r="AJ28" s="1">
        <v>2</v>
      </c>
      <c r="AK28" s="1">
        <v>0</v>
      </c>
      <c r="AL28" s="1">
        <v>0</v>
      </c>
      <c r="AM28" s="1">
        <v>0</v>
      </c>
      <c r="AN28" s="1">
        <v>0</v>
      </c>
    </row>
    <row r="29" spans="1:40" x14ac:dyDescent="0.3">
      <c r="A29" s="10">
        <v>45775</v>
      </c>
      <c r="B29" s="1">
        <v>0</v>
      </c>
      <c r="C29" s="1">
        <v>0</v>
      </c>
      <c r="D29" s="1">
        <v>0</v>
      </c>
      <c r="E29" s="1">
        <v>0</v>
      </c>
      <c r="F29" s="1">
        <v>0</v>
      </c>
      <c r="G29" s="1">
        <v>0</v>
      </c>
      <c r="H29" s="1">
        <v>3</v>
      </c>
      <c r="I29" s="1">
        <v>0</v>
      </c>
      <c r="J29" s="1"/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  <c r="AF29" s="1">
        <v>0</v>
      </c>
      <c r="AG29" s="1">
        <v>0</v>
      </c>
      <c r="AH29" s="1">
        <v>0</v>
      </c>
      <c r="AI29" s="1">
        <v>0</v>
      </c>
      <c r="AJ29" s="1">
        <v>2</v>
      </c>
      <c r="AK29" s="1">
        <v>1</v>
      </c>
      <c r="AL29" s="1">
        <v>0</v>
      </c>
      <c r="AM29" s="1">
        <v>0</v>
      </c>
      <c r="AN29" s="1">
        <v>0</v>
      </c>
    </row>
    <row r="30" spans="1:40" x14ac:dyDescent="0.3">
      <c r="A30" s="10">
        <v>45776</v>
      </c>
      <c r="B30" s="1">
        <v>0</v>
      </c>
      <c r="C30" s="1">
        <v>0</v>
      </c>
      <c r="D30" s="1">
        <v>0</v>
      </c>
      <c r="E30" s="1">
        <v>0</v>
      </c>
      <c r="F30" s="1">
        <v>0</v>
      </c>
      <c r="G30" s="1">
        <v>0</v>
      </c>
      <c r="H30" s="1">
        <v>3</v>
      </c>
      <c r="I30" s="1">
        <v>1</v>
      </c>
      <c r="J30" s="1"/>
      <c r="K30" s="1">
        <v>0</v>
      </c>
      <c r="L30" s="1">
        <v>1</v>
      </c>
      <c r="M30" s="1">
        <v>0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G30" s="1">
        <v>0</v>
      </c>
      <c r="AH30" s="1">
        <v>0</v>
      </c>
      <c r="AI30" s="1">
        <v>0</v>
      </c>
      <c r="AJ30" s="1">
        <v>3</v>
      </c>
      <c r="AK30" s="1">
        <v>0</v>
      </c>
      <c r="AL30" s="1">
        <v>0</v>
      </c>
      <c r="AM30" s="1">
        <v>1</v>
      </c>
      <c r="AN30" s="1">
        <v>0</v>
      </c>
    </row>
    <row r="31" spans="1:40" x14ac:dyDescent="0.3">
      <c r="A31" s="10">
        <v>45777</v>
      </c>
      <c r="B31" s="1">
        <v>0</v>
      </c>
      <c r="C31" s="1">
        <v>0</v>
      </c>
      <c r="D31" s="1">
        <v>0</v>
      </c>
      <c r="E31" s="1">
        <v>0</v>
      </c>
      <c r="F31" s="1">
        <v>0</v>
      </c>
      <c r="G31" s="1">
        <v>0</v>
      </c>
      <c r="H31" s="1">
        <v>1</v>
      </c>
      <c r="I31" s="1">
        <v>0</v>
      </c>
      <c r="J31" s="1"/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>
        <v>0</v>
      </c>
      <c r="AH31" s="1">
        <v>0</v>
      </c>
      <c r="AI31" s="1">
        <v>0</v>
      </c>
      <c r="AJ31" s="1">
        <v>1</v>
      </c>
      <c r="AK31" s="1">
        <v>0</v>
      </c>
      <c r="AL31" s="1">
        <v>0</v>
      </c>
      <c r="AM31" s="1">
        <v>0</v>
      </c>
      <c r="AN31" s="1">
        <v>0</v>
      </c>
    </row>
    <row r="32" spans="1:40" x14ac:dyDescent="0.3">
      <c r="A32" s="10">
        <v>45778</v>
      </c>
      <c r="B32" s="1">
        <v>0</v>
      </c>
      <c r="C32" s="1">
        <v>0</v>
      </c>
      <c r="D32" s="1">
        <v>0</v>
      </c>
      <c r="E32" s="1">
        <v>0</v>
      </c>
      <c r="F32" s="1">
        <v>0</v>
      </c>
      <c r="G32" s="1">
        <v>0</v>
      </c>
      <c r="H32" s="1">
        <v>7</v>
      </c>
      <c r="I32" s="1">
        <v>0</v>
      </c>
      <c r="J32" s="1"/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0</v>
      </c>
      <c r="AG32" s="1">
        <v>0</v>
      </c>
      <c r="AH32" s="1">
        <v>0</v>
      </c>
      <c r="AI32" s="1">
        <v>0</v>
      </c>
      <c r="AJ32" s="1">
        <v>6</v>
      </c>
      <c r="AK32" s="1">
        <v>1</v>
      </c>
      <c r="AL32" s="1">
        <v>0</v>
      </c>
      <c r="AM32" s="1">
        <v>0</v>
      </c>
      <c r="AN32" s="1">
        <v>0</v>
      </c>
    </row>
    <row r="33" spans="1:40" x14ac:dyDescent="0.3">
      <c r="A33" s="10">
        <v>45779</v>
      </c>
      <c r="B33" s="1">
        <v>0</v>
      </c>
      <c r="C33" s="1">
        <v>0</v>
      </c>
      <c r="D33" s="1">
        <v>0</v>
      </c>
      <c r="E33" s="1">
        <v>0</v>
      </c>
      <c r="F33" s="1">
        <v>0</v>
      </c>
      <c r="G33" s="1">
        <v>0</v>
      </c>
      <c r="H33" s="1">
        <v>6</v>
      </c>
      <c r="I33" s="1">
        <v>1</v>
      </c>
      <c r="J33" s="1"/>
      <c r="K33" s="1">
        <v>0</v>
      </c>
      <c r="L33" s="1">
        <v>1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G33" s="1">
        <v>0</v>
      </c>
      <c r="AH33" s="1">
        <v>0</v>
      </c>
      <c r="AI33" s="1">
        <v>0</v>
      </c>
      <c r="AJ33" s="1">
        <v>5</v>
      </c>
      <c r="AK33" s="1">
        <v>1</v>
      </c>
      <c r="AL33" s="1">
        <v>0</v>
      </c>
      <c r="AM33" s="1">
        <v>1</v>
      </c>
      <c r="AN33" s="1">
        <v>0</v>
      </c>
    </row>
    <row r="34" spans="1:40" x14ac:dyDescent="0.3">
      <c r="A34" s="10">
        <v>45780</v>
      </c>
      <c r="B34" s="1">
        <v>0</v>
      </c>
      <c r="C34" s="1">
        <v>0</v>
      </c>
      <c r="D34" s="1">
        <v>0</v>
      </c>
      <c r="E34" s="1">
        <v>0</v>
      </c>
      <c r="F34" s="1">
        <v>0</v>
      </c>
      <c r="G34" s="1">
        <v>0</v>
      </c>
      <c r="H34" s="1">
        <v>2</v>
      </c>
      <c r="I34" s="1">
        <v>0</v>
      </c>
      <c r="J34" s="1"/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1">
        <v>0</v>
      </c>
      <c r="AH34" s="1">
        <v>0</v>
      </c>
      <c r="AI34" s="1">
        <v>0</v>
      </c>
      <c r="AJ34" s="1">
        <v>2</v>
      </c>
      <c r="AK34" s="1">
        <v>0</v>
      </c>
      <c r="AL34" s="1">
        <v>0</v>
      </c>
      <c r="AM34" s="1">
        <v>0</v>
      </c>
      <c r="AN34" s="1">
        <v>0</v>
      </c>
    </row>
    <row r="35" spans="1:40" x14ac:dyDescent="0.3">
      <c r="A35" s="10">
        <v>45781</v>
      </c>
      <c r="B35" s="1">
        <v>0</v>
      </c>
      <c r="C35" s="1">
        <v>0</v>
      </c>
      <c r="D35" s="1">
        <v>0</v>
      </c>
      <c r="E35" s="1">
        <v>0</v>
      </c>
      <c r="F35" s="1">
        <v>0</v>
      </c>
      <c r="G35" s="1">
        <v>0</v>
      </c>
      <c r="H35" s="1">
        <v>1</v>
      </c>
      <c r="I35" s="1">
        <v>0</v>
      </c>
      <c r="J35" s="1"/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G35" s="1">
        <v>0</v>
      </c>
      <c r="AH35" s="1">
        <v>0</v>
      </c>
      <c r="AI35" s="1">
        <v>0</v>
      </c>
      <c r="AJ35" s="1">
        <v>1</v>
      </c>
      <c r="AK35" s="1">
        <v>0</v>
      </c>
      <c r="AL35" s="1">
        <v>0</v>
      </c>
      <c r="AM35" s="1">
        <v>0</v>
      </c>
      <c r="AN35" s="1">
        <v>0</v>
      </c>
    </row>
    <row r="36" spans="1:40" x14ac:dyDescent="0.3">
      <c r="A36" s="10">
        <v>45782</v>
      </c>
      <c r="B36" s="1">
        <v>0</v>
      </c>
      <c r="C36" s="1">
        <v>0</v>
      </c>
      <c r="D36" s="1">
        <v>0</v>
      </c>
      <c r="E36" s="1">
        <v>0</v>
      </c>
      <c r="F36" s="1">
        <v>0</v>
      </c>
      <c r="G36" s="1">
        <v>0</v>
      </c>
      <c r="H36" s="1">
        <v>6</v>
      </c>
      <c r="I36" s="1">
        <v>0</v>
      </c>
      <c r="J36" s="1"/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1">
        <v>6</v>
      </c>
      <c r="AK36" s="1">
        <v>0</v>
      </c>
      <c r="AL36" s="1">
        <v>0</v>
      </c>
      <c r="AM36" s="1">
        <v>0</v>
      </c>
      <c r="AN36" s="1">
        <v>0</v>
      </c>
    </row>
    <row r="37" spans="1:40" x14ac:dyDescent="0.3">
      <c r="A37" s="10">
        <v>45783</v>
      </c>
      <c r="B37" s="1">
        <v>0</v>
      </c>
      <c r="C37" s="1">
        <v>0</v>
      </c>
      <c r="D37" s="1">
        <v>0</v>
      </c>
      <c r="E37" s="1">
        <v>0</v>
      </c>
      <c r="F37" s="1">
        <v>0</v>
      </c>
      <c r="G37" s="1">
        <v>0</v>
      </c>
      <c r="H37" s="1">
        <v>1</v>
      </c>
      <c r="I37" s="1">
        <v>0</v>
      </c>
      <c r="J37" s="1"/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">
        <v>0</v>
      </c>
      <c r="AH37" s="1">
        <v>0</v>
      </c>
      <c r="AI37" s="1">
        <v>0</v>
      </c>
      <c r="AJ37" s="1">
        <v>1</v>
      </c>
      <c r="AK37" s="1">
        <v>0</v>
      </c>
      <c r="AL37" s="1">
        <v>0</v>
      </c>
      <c r="AM37" s="1">
        <v>0</v>
      </c>
      <c r="AN37" s="1">
        <v>0</v>
      </c>
    </row>
    <row r="38" spans="1:40" x14ac:dyDescent="0.3">
      <c r="A38" s="10">
        <v>45784</v>
      </c>
      <c r="B38" s="1">
        <v>0</v>
      </c>
      <c r="C38" s="1">
        <v>0</v>
      </c>
      <c r="D38" s="1">
        <v>0</v>
      </c>
      <c r="E38" s="1">
        <v>0</v>
      </c>
      <c r="F38" s="1">
        <v>0</v>
      </c>
      <c r="G38" s="1">
        <v>0</v>
      </c>
      <c r="H38" s="1">
        <v>3</v>
      </c>
      <c r="I38" s="1">
        <v>0</v>
      </c>
      <c r="J38" s="1"/>
      <c r="K38" s="1">
        <v>0</v>
      </c>
      <c r="L38" s="1">
        <v>3</v>
      </c>
      <c r="M38" s="1">
        <v>0</v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J38" s="1">
        <v>3</v>
      </c>
      <c r="AK38" s="1">
        <v>0</v>
      </c>
      <c r="AL38" s="1">
        <v>0</v>
      </c>
      <c r="AM38" s="1">
        <v>0</v>
      </c>
      <c r="AN38" s="1">
        <v>0</v>
      </c>
    </row>
    <row r="39" spans="1:40" x14ac:dyDescent="0.3">
      <c r="A39" s="10">
        <v>45785</v>
      </c>
      <c r="B39" s="1">
        <v>0</v>
      </c>
      <c r="C39" s="1">
        <v>0</v>
      </c>
      <c r="D39" s="1">
        <v>0</v>
      </c>
      <c r="E39" s="1">
        <v>0</v>
      </c>
      <c r="F39" s="1">
        <v>0</v>
      </c>
      <c r="G39" s="1">
        <v>0</v>
      </c>
      <c r="H39" s="1">
        <v>4</v>
      </c>
      <c r="I39" s="1">
        <v>0</v>
      </c>
      <c r="J39" s="1"/>
      <c r="K39" s="1">
        <v>0</v>
      </c>
      <c r="L39" s="1">
        <v>1</v>
      </c>
      <c r="M39" s="1">
        <v>0</v>
      </c>
      <c r="N39" s="1">
        <v>0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1">
        <v>0</v>
      </c>
      <c r="AG39" s="1">
        <v>0</v>
      </c>
      <c r="AH39" s="1">
        <v>0</v>
      </c>
      <c r="AI39" s="1">
        <v>0</v>
      </c>
      <c r="AJ39" s="1">
        <v>4</v>
      </c>
      <c r="AK39" s="1">
        <v>0</v>
      </c>
      <c r="AL39" s="1">
        <v>0</v>
      </c>
      <c r="AM39" s="1">
        <v>0</v>
      </c>
      <c r="AN39" s="1">
        <v>0</v>
      </c>
    </row>
    <row r="40" spans="1:40" x14ac:dyDescent="0.3">
      <c r="A40" s="10">
        <v>45786</v>
      </c>
      <c r="B40" s="1">
        <v>0</v>
      </c>
      <c r="C40" s="1">
        <v>0</v>
      </c>
      <c r="D40" s="1">
        <v>0</v>
      </c>
      <c r="E40" s="1">
        <v>0</v>
      </c>
      <c r="F40" s="1">
        <v>0</v>
      </c>
      <c r="G40" s="1">
        <v>0</v>
      </c>
      <c r="H40" s="1">
        <v>4</v>
      </c>
      <c r="I40" s="1">
        <v>0</v>
      </c>
      <c r="J40" s="1"/>
      <c r="K40" s="1">
        <v>0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J40" s="1">
        <v>4</v>
      </c>
      <c r="AK40" s="1">
        <v>0</v>
      </c>
      <c r="AL40" s="1">
        <v>0</v>
      </c>
      <c r="AM40" s="1">
        <v>0</v>
      </c>
      <c r="AN40" s="1">
        <v>0</v>
      </c>
    </row>
    <row r="41" spans="1:40" x14ac:dyDescent="0.3">
      <c r="A41" s="10">
        <v>45787</v>
      </c>
      <c r="B41" s="1">
        <v>0</v>
      </c>
      <c r="C41" s="1">
        <v>0</v>
      </c>
      <c r="D41" s="1">
        <v>0</v>
      </c>
      <c r="E41" s="1">
        <v>0</v>
      </c>
      <c r="F41" s="1">
        <v>0</v>
      </c>
      <c r="G41" s="1">
        <v>0</v>
      </c>
      <c r="H41" s="1">
        <v>4</v>
      </c>
      <c r="I41" s="1">
        <v>0</v>
      </c>
      <c r="J41" s="1"/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J41" s="1">
        <v>3</v>
      </c>
      <c r="AK41" s="1">
        <v>1</v>
      </c>
      <c r="AL41" s="1">
        <v>0</v>
      </c>
      <c r="AM41" s="1">
        <v>0</v>
      </c>
      <c r="AN41" s="1">
        <v>0</v>
      </c>
    </row>
    <row r="42" spans="1:40" x14ac:dyDescent="0.3">
      <c r="A42" s="10">
        <v>45788</v>
      </c>
      <c r="B42" s="1">
        <v>0</v>
      </c>
      <c r="C42" s="1">
        <v>0</v>
      </c>
      <c r="D42" s="1">
        <v>0</v>
      </c>
      <c r="E42" s="1">
        <v>0</v>
      </c>
      <c r="F42" s="1">
        <v>0</v>
      </c>
      <c r="G42" s="1">
        <v>0</v>
      </c>
      <c r="H42" s="1">
        <v>1</v>
      </c>
      <c r="I42" s="1">
        <v>0</v>
      </c>
      <c r="J42" s="1"/>
      <c r="K42" s="1">
        <v>0</v>
      </c>
      <c r="L42" s="1">
        <v>3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J42" s="1">
        <v>1</v>
      </c>
      <c r="AK42" s="1">
        <v>0</v>
      </c>
      <c r="AL42" s="1">
        <v>0</v>
      </c>
      <c r="AM42" s="1">
        <v>0</v>
      </c>
      <c r="AN42" s="1">
        <v>0</v>
      </c>
    </row>
    <row r="43" spans="1:40" x14ac:dyDescent="0.3">
      <c r="A43" s="10">
        <v>45789</v>
      </c>
      <c r="B43" s="1">
        <v>0</v>
      </c>
      <c r="C43" s="1">
        <v>0</v>
      </c>
      <c r="D43" s="1">
        <v>0</v>
      </c>
      <c r="E43" s="1">
        <v>0</v>
      </c>
      <c r="F43" s="1">
        <v>0</v>
      </c>
      <c r="G43" s="1">
        <v>0</v>
      </c>
      <c r="H43" s="1">
        <v>3</v>
      </c>
      <c r="I43" s="1">
        <v>0</v>
      </c>
      <c r="J43" s="1"/>
      <c r="K43" s="1">
        <v>0</v>
      </c>
      <c r="L43" s="1">
        <v>1</v>
      </c>
      <c r="M43" s="1">
        <v>0</v>
      </c>
      <c r="N43" s="1">
        <v>0</v>
      </c>
      <c r="O43" s="1">
        <v>0</v>
      </c>
      <c r="P43" s="1">
        <v>0</v>
      </c>
      <c r="Q43" s="1">
        <v>0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  <c r="AG43" s="1">
        <v>0</v>
      </c>
      <c r="AH43" s="1">
        <v>0</v>
      </c>
      <c r="AI43" s="1">
        <v>0</v>
      </c>
      <c r="AJ43" s="1">
        <v>2</v>
      </c>
      <c r="AK43" s="1">
        <v>1</v>
      </c>
      <c r="AL43" s="1">
        <v>0</v>
      </c>
      <c r="AM43" s="1">
        <v>0</v>
      </c>
      <c r="AN43" s="1">
        <v>0</v>
      </c>
    </row>
    <row r="44" spans="1:40" x14ac:dyDescent="0.3">
      <c r="A44" s="10">
        <v>45790</v>
      </c>
      <c r="B44" s="1">
        <v>0</v>
      </c>
      <c r="C44" s="1">
        <v>0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/>
      <c r="K44" s="1">
        <v>0</v>
      </c>
      <c r="L44" s="1">
        <v>1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>
        <v>0</v>
      </c>
      <c r="AH44" s="1">
        <v>0</v>
      </c>
      <c r="AI44" s="1">
        <v>0</v>
      </c>
      <c r="AJ44" s="1">
        <v>0</v>
      </c>
      <c r="AK44" s="1">
        <v>0</v>
      </c>
      <c r="AL44" s="1">
        <v>0</v>
      </c>
      <c r="AM44" s="1">
        <v>0</v>
      </c>
      <c r="AN44" s="1">
        <v>0</v>
      </c>
    </row>
    <row r="45" spans="1:40" x14ac:dyDescent="0.3">
      <c r="A45" s="10">
        <v>45791</v>
      </c>
      <c r="B45" s="1">
        <v>0</v>
      </c>
      <c r="C45" s="1">
        <v>0</v>
      </c>
      <c r="D45" s="1">
        <v>0</v>
      </c>
      <c r="E45" s="1">
        <v>0</v>
      </c>
      <c r="F45" s="1">
        <v>0</v>
      </c>
      <c r="G45" s="1">
        <v>0</v>
      </c>
      <c r="H45" s="1">
        <v>2</v>
      </c>
      <c r="I45" s="1">
        <v>0</v>
      </c>
      <c r="J45" s="1"/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>
        <v>2</v>
      </c>
      <c r="AK45" s="1">
        <v>0</v>
      </c>
      <c r="AL45" s="1">
        <v>0</v>
      </c>
      <c r="AM45" s="1">
        <v>0</v>
      </c>
      <c r="AN45" s="1">
        <v>0</v>
      </c>
    </row>
    <row r="46" spans="1:40" x14ac:dyDescent="0.3">
      <c r="A46" s="10">
        <v>45792</v>
      </c>
      <c r="B46" s="1">
        <v>0</v>
      </c>
      <c r="C46" s="1">
        <v>0</v>
      </c>
      <c r="D46" s="1">
        <v>0</v>
      </c>
      <c r="E46" s="1">
        <v>0</v>
      </c>
      <c r="F46" s="1">
        <v>0</v>
      </c>
      <c r="G46" s="1">
        <v>0</v>
      </c>
      <c r="H46" s="1">
        <v>5</v>
      </c>
      <c r="I46" s="1">
        <v>0</v>
      </c>
      <c r="J46" s="1"/>
      <c r="K46" s="1">
        <v>0</v>
      </c>
      <c r="L46" s="1">
        <v>1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1">
        <v>5</v>
      </c>
      <c r="AK46" s="1">
        <v>0</v>
      </c>
      <c r="AL46" s="1">
        <v>0</v>
      </c>
      <c r="AM46" s="1">
        <v>0</v>
      </c>
      <c r="AN46" s="1">
        <v>0</v>
      </c>
    </row>
    <row r="47" spans="1:40" x14ac:dyDescent="0.3">
      <c r="A47" s="10">
        <v>45793</v>
      </c>
      <c r="B47" s="1">
        <v>0</v>
      </c>
      <c r="C47" s="1">
        <v>0</v>
      </c>
      <c r="D47" s="1">
        <v>0</v>
      </c>
      <c r="E47" s="1">
        <v>0</v>
      </c>
      <c r="F47" s="1">
        <v>0</v>
      </c>
      <c r="G47" s="1">
        <v>0</v>
      </c>
      <c r="H47" s="1">
        <v>1</v>
      </c>
      <c r="I47" s="1">
        <v>0</v>
      </c>
      <c r="J47" s="1"/>
      <c r="K47" s="1">
        <v>0</v>
      </c>
      <c r="L47" s="1">
        <v>2</v>
      </c>
      <c r="M47" s="1">
        <v>0</v>
      </c>
      <c r="N47" s="1">
        <v>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>
        <v>1</v>
      </c>
      <c r="AK47" s="1">
        <v>0</v>
      </c>
      <c r="AL47" s="1">
        <v>0</v>
      </c>
      <c r="AM47" s="1">
        <v>0</v>
      </c>
      <c r="AN47" s="1">
        <v>0</v>
      </c>
    </row>
    <row r="48" spans="1:40" x14ac:dyDescent="0.3">
      <c r="A48" s="10">
        <v>45794</v>
      </c>
      <c r="B48" s="1">
        <v>0</v>
      </c>
      <c r="C48" s="1">
        <v>0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0</v>
      </c>
      <c r="J48" s="1"/>
      <c r="K48" s="1">
        <v>0</v>
      </c>
      <c r="L48" s="1">
        <v>0</v>
      </c>
      <c r="M48" s="1">
        <v>0</v>
      </c>
      <c r="N48" s="1">
        <v>0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0</v>
      </c>
      <c r="AL48" s="1">
        <v>0</v>
      </c>
      <c r="AM48" s="1">
        <v>0</v>
      </c>
      <c r="AN48" s="1">
        <v>0</v>
      </c>
    </row>
    <row r="49" spans="1:40" x14ac:dyDescent="0.3">
      <c r="A49" s="10">
        <v>45795</v>
      </c>
      <c r="B49" s="1">
        <v>0</v>
      </c>
      <c r="C49" s="1">
        <v>0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 s="1">
        <v>0</v>
      </c>
      <c r="J49" s="1"/>
      <c r="K49" s="1">
        <v>0</v>
      </c>
      <c r="L49" s="1">
        <v>3</v>
      </c>
      <c r="M49" s="1">
        <v>0</v>
      </c>
      <c r="N49" s="1">
        <v>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F49" s="1">
        <v>0</v>
      </c>
      <c r="AG49" s="1">
        <v>0</v>
      </c>
      <c r="AH49" s="1">
        <v>0</v>
      </c>
      <c r="AI49" s="1">
        <v>0</v>
      </c>
      <c r="AJ49" s="1">
        <v>0</v>
      </c>
      <c r="AK49" s="1">
        <v>0</v>
      </c>
      <c r="AL49" s="1">
        <v>0</v>
      </c>
      <c r="AM49" s="1">
        <v>0</v>
      </c>
      <c r="AN49" s="1">
        <v>0</v>
      </c>
    </row>
    <row r="50" spans="1:40" x14ac:dyDescent="0.3">
      <c r="A50" s="10">
        <v>45796</v>
      </c>
      <c r="B50" s="1">
        <v>0</v>
      </c>
      <c r="C50" s="1">
        <v>0</v>
      </c>
      <c r="D50" s="1">
        <v>0</v>
      </c>
      <c r="E50" s="1">
        <v>0</v>
      </c>
      <c r="F50" s="1">
        <v>0</v>
      </c>
      <c r="G50" s="1">
        <v>0</v>
      </c>
      <c r="H50" s="1">
        <v>1</v>
      </c>
      <c r="I50" s="1">
        <v>0</v>
      </c>
      <c r="J50" s="1"/>
      <c r="K50" s="1">
        <v>0</v>
      </c>
      <c r="L50" s="1">
        <v>2</v>
      </c>
      <c r="M50" s="1">
        <v>0</v>
      </c>
      <c r="N50" s="1">
        <v>0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F50" s="1">
        <v>0</v>
      </c>
      <c r="AG50" s="1">
        <v>0</v>
      </c>
      <c r="AH50" s="1">
        <v>0</v>
      </c>
      <c r="AI50" s="1">
        <v>0</v>
      </c>
      <c r="AJ50" s="1">
        <v>1</v>
      </c>
      <c r="AK50" s="1">
        <v>0</v>
      </c>
      <c r="AL50" s="1">
        <v>0</v>
      </c>
      <c r="AM50" s="1">
        <v>0</v>
      </c>
      <c r="AN50" s="1">
        <v>0</v>
      </c>
    </row>
    <row r="51" spans="1:40" x14ac:dyDescent="0.3">
      <c r="A51" s="10">
        <v>45797</v>
      </c>
      <c r="B51" s="1">
        <v>0</v>
      </c>
      <c r="C51" s="1">
        <v>0</v>
      </c>
      <c r="D51" s="1">
        <v>0</v>
      </c>
      <c r="E51" s="1">
        <v>0</v>
      </c>
      <c r="F51" s="1">
        <v>0</v>
      </c>
      <c r="G51" s="1">
        <v>0</v>
      </c>
      <c r="H51" s="1">
        <v>1</v>
      </c>
      <c r="I51" s="1">
        <v>0</v>
      </c>
      <c r="J51" s="1"/>
      <c r="K51" s="1">
        <v>0</v>
      </c>
      <c r="L51" s="1">
        <v>20</v>
      </c>
      <c r="M51" s="1">
        <v>0</v>
      </c>
      <c r="N51" s="1">
        <v>0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  <c r="AD51" s="1">
        <v>0</v>
      </c>
      <c r="AE51" s="1">
        <v>0</v>
      </c>
      <c r="AF51" s="1">
        <v>0</v>
      </c>
      <c r="AG51" s="1">
        <v>0</v>
      </c>
      <c r="AH51" s="1">
        <v>0</v>
      </c>
      <c r="AI51" s="1">
        <v>0</v>
      </c>
      <c r="AJ51" s="1">
        <v>1</v>
      </c>
      <c r="AK51" s="1">
        <v>0</v>
      </c>
      <c r="AL51" s="1">
        <v>0</v>
      </c>
      <c r="AM51" s="1">
        <v>0</v>
      </c>
      <c r="AN51" s="1">
        <v>0</v>
      </c>
    </row>
    <row r="52" spans="1:40" x14ac:dyDescent="0.3">
      <c r="A52" s="10">
        <v>45798</v>
      </c>
      <c r="B52" s="1">
        <v>0</v>
      </c>
      <c r="C52" s="1">
        <v>0</v>
      </c>
      <c r="D52" s="1">
        <v>0</v>
      </c>
      <c r="E52" s="1">
        <v>0</v>
      </c>
      <c r="F52" s="1">
        <v>0</v>
      </c>
      <c r="G52" s="1">
        <v>0</v>
      </c>
      <c r="H52" s="1">
        <v>2</v>
      </c>
      <c r="I52" s="1">
        <v>0</v>
      </c>
      <c r="J52" s="1"/>
      <c r="K52" s="1">
        <v>0</v>
      </c>
      <c r="L52" s="1">
        <v>8</v>
      </c>
      <c r="M52" s="1">
        <v>0</v>
      </c>
      <c r="N52" s="1">
        <v>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  <c r="AB52" s="1">
        <v>0</v>
      </c>
      <c r="AC52" s="1">
        <v>0</v>
      </c>
      <c r="AD52" s="1">
        <v>0</v>
      </c>
      <c r="AE52" s="1">
        <v>0</v>
      </c>
      <c r="AF52" s="1">
        <v>0</v>
      </c>
      <c r="AG52" s="1">
        <v>0</v>
      </c>
      <c r="AH52" s="1">
        <v>0</v>
      </c>
      <c r="AI52" s="1">
        <v>0</v>
      </c>
      <c r="AJ52" s="1">
        <v>2</v>
      </c>
      <c r="AK52" s="1">
        <v>0</v>
      </c>
      <c r="AL52" s="1">
        <v>0</v>
      </c>
      <c r="AM52" s="1">
        <v>0</v>
      </c>
      <c r="AN52" s="1">
        <v>0</v>
      </c>
    </row>
    <row r="53" spans="1:40" x14ac:dyDescent="0.3">
      <c r="A53" s="10">
        <v>45799</v>
      </c>
      <c r="B53" s="1">
        <v>0</v>
      </c>
      <c r="C53" s="1">
        <v>0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/>
      <c r="K53" s="1">
        <v>0</v>
      </c>
      <c r="L53" s="1">
        <v>2</v>
      </c>
      <c r="M53" s="1">
        <v>0</v>
      </c>
      <c r="N53" s="1">
        <v>0</v>
      </c>
      <c r="O53" s="1">
        <v>0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1">
        <v>0</v>
      </c>
      <c r="AB53" s="1">
        <v>0</v>
      </c>
      <c r="AC53" s="1">
        <v>0</v>
      </c>
      <c r="AD53" s="1">
        <v>0</v>
      </c>
      <c r="AE53" s="1">
        <v>0</v>
      </c>
      <c r="AF53" s="1">
        <v>0</v>
      </c>
      <c r="AG53" s="1">
        <v>0</v>
      </c>
      <c r="AH53" s="1">
        <v>0</v>
      </c>
      <c r="AI53" s="1">
        <v>0</v>
      </c>
      <c r="AJ53" s="1">
        <v>0</v>
      </c>
      <c r="AK53" s="1">
        <v>0</v>
      </c>
      <c r="AL53" s="1">
        <v>0</v>
      </c>
      <c r="AM53" s="1">
        <v>0</v>
      </c>
      <c r="AN53" s="1">
        <v>0</v>
      </c>
    </row>
    <row r="54" spans="1:40" x14ac:dyDescent="0.3">
      <c r="A54" s="10">
        <v>45800</v>
      </c>
      <c r="B54" s="1">
        <v>0</v>
      </c>
      <c r="C54" s="1">
        <v>0</v>
      </c>
      <c r="D54" s="1">
        <v>0</v>
      </c>
      <c r="E54" s="1">
        <v>0</v>
      </c>
      <c r="F54" s="1">
        <v>0</v>
      </c>
      <c r="G54" s="1">
        <v>0</v>
      </c>
      <c r="H54" s="1">
        <v>2</v>
      </c>
      <c r="I54" s="1">
        <v>0</v>
      </c>
      <c r="J54" s="1"/>
      <c r="K54" s="1">
        <v>0</v>
      </c>
      <c r="L54" s="1">
        <v>16</v>
      </c>
      <c r="M54" s="1">
        <v>0</v>
      </c>
      <c r="N54" s="1">
        <v>0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0</v>
      </c>
      <c r="AB54" s="1">
        <v>0</v>
      </c>
      <c r="AC54" s="1">
        <v>0</v>
      </c>
      <c r="AD54" s="1">
        <v>0</v>
      </c>
      <c r="AE54" s="1">
        <v>0</v>
      </c>
      <c r="AF54" s="1">
        <v>0</v>
      </c>
      <c r="AG54" s="1">
        <v>0</v>
      </c>
      <c r="AH54" s="1">
        <v>0</v>
      </c>
      <c r="AI54" s="1">
        <v>0</v>
      </c>
      <c r="AJ54" s="1">
        <v>2</v>
      </c>
      <c r="AK54" s="1">
        <v>0</v>
      </c>
      <c r="AL54" s="1">
        <v>0</v>
      </c>
      <c r="AM54" s="1">
        <v>0</v>
      </c>
      <c r="AN54" s="1">
        <v>0</v>
      </c>
    </row>
    <row r="55" spans="1:40" x14ac:dyDescent="0.3">
      <c r="A55" s="10">
        <v>45801</v>
      </c>
      <c r="B55" s="1">
        <v>0</v>
      </c>
      <c r="C55" s="1">
        <v>0</v>
      </c>
      <c r="D55" s="1">
        <v>0</v>
      </c>
      <c r="E55" s="1">
        <v>0</v>
      </c>
      <c r="F55" s="1">
        <v>0</v>
      </c>
      <c r="G55" s="1">
        <v>0</v>
      </c>
      <c r="H55" s="1">
        <v>1</v>
      </c>
      <c r="I55" s="1">
        <v>0</v>
      </c>
      <c r="J55" s="1"/>
      <c r="K55" s="1">
        <v>0</v>
      </c>
      <c r="L55" s="1">
        <v>17</v>
      </c>
      <c r="M55" s="1">
        <v>0</v>
      </c>
      <c r="N55" s="1">
        <v>0</v>
      </c>
      <c r="O55" s="1">
        <v>0</v>
      </c>
      <c r="P55" s="1">
        <v>0</v>
      </c>
      <c r="Q55" s="1">
        <v>0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1">
        <v>0</v>
      </c>
      <c r="AC55" s="1">
        <v>0</v>
      </c>
      <c r="AD55" s="1">
        <v>0</v>
      </c>
      <c r="AE55" s="1">
        <v>0</v>
      </c>
      <c r="AF55" s="1">
        <v>0</v>
      </c>
      <c r="AG55" s="1">
        <v>0</v>
      </c>
      <c r="AH55" s="1">
        <v>0</v>
      </c>
      <c r="AI55" s="1">
        <v>0</v>
      </c>
      <c r="AJ55" s="1">
        <v>1</v>
      </c>
      <c r="AK55" s="1">
        <v>0</v>
      </c>
      <c r="AL55" s="1">
        <v>0</v>
      </c>
      <c r="AM55" s="1">
        <v>0</v>
      </c>
      <c r="AN55" s="1">
        <v>0</v>
      </c>
    </row>
    <row r="56" spans="1:40" x14ac:dyDescent="0.3">
      <c r="A56" s="10">
        <v>45802</v>
      </c>
      <c r="B56" s="1">
        <v>0</v>
      </c>
      <c r="C56" s="1">
        <v>0</v>
      </c>
      <c r="D56" s="1">
        <v>0</v>
      </c>
      <c r="E56" s="1">
        <v>0</v>
      </c>
      <c r="F56" s="1">
        <v>0</v>
      </c>
      <c r="G56" s="1">
        <v>0</v>
      </c>
      <c r="H56" s="1">
        <v>2</v>
      </c>
      <c r="I56" s="1">
        <v>0</v>
      </c>
      <c r="J56" s="1"/>
      <c r="K56" s="1">
        <v>0</v>
      </c>
      <c r="L56" s="1">
        <v>37</v>
      </c>
      <c r="M56" s="1">
        <v>0</v>
      </c>
      <c r="N56" s="1">
        <v>0</v>
      </c>
      <c r="O56" s="1">
        <v>0</v>
      </c>
      <c r="P56" s="1">
        <v>0</v>
      </c>
      <c r="Q56" s="1">
        <v>0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  <c r="AC56" s="1">
        <v>0</v>
      </c>
      <c r="AD56" s="1">
        <v>0</v>
      </c>
      <c r="AE56" s="1">
        <v>0</v>
      </c>
      <c r="AF56" s="1">
        <v>0</v>
      </c>
      <c r="AG56" s="1">
        <v>0</v>
      </c>
      <c r="AH56" s="1">
        <v>0</v>
      </c>
      <c r="AI56" s="1">
        <v>0</v>
      </c>
      <c r="AJ56" s="1">
        <v>2</v>
      </c>
      <c r="AK56" s="1">
        <v>0</v>
      </c>
      <c r="AL56" s="1">
        <v>0</v>
      </c>
      <c r="AM56" s="1">
        <v>0</v>
      </c>
      <c r="AN56" s="1">
        <v>0</v>
      </c>
    </row>
    <row r="57" spans="1:40" x14ac:dyDescent="0.3">
      <c r="A57" s="10">
        <v>45803</v>
      </c>
      <c r="B57" s="1">
        <v>0</v>
      </c>
      <c r="C57" s="1">
        <v>0</v>
      </c>
      <c r="D57" s="1">
        <v>0</v>
      </c>
      <c r="E57" s="1">
        <v>0</v>
      </c>
      <c r="F57" s="1">
        <v>0</v>
      </c>
      <c r="G57" s="1">
        <v>0</v>
      </c>
      <c r="H57" s="1">
        <v>1</v>
      </c>
      <c r="I57" s="1">
        <v>0</v>
      </c>
      <c r="J57" s="1"/>
      <c r="K57" s="1">
        <v>0</v>
      </c>
      <c r="L57" s="1">
        <v>77</v>
      </c>
      <c r="M57" s="1">
        <v>0</v>
      </c>
      <c r="N57" s="1">
        <v>0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1">
        <v>0</v>
      </c>
      <c r="AB57" s="1">
        <v>0</v>
      </c>
      <c r="AC57" s="1">
        <v>0</v>
      </c>
      <c r="AD57" s="1">
        <v>0</v>
      </c>
      <c r="AE57" s="1">
        <v>0</v>
      </c>
      <c r="AF57" s="1">
        <v>0</v>
      </c>
      <c r="AG57" s="1">
        <v>0</v>
      </c>
      <c r="AH57" s="1">
        <v>0</v>
      </c>
      <c r="AI57" s="1">
        <v>0</v>
      </c>
      <c r="AJ57" s="1">
        <v>1</v>
      </c>
      <c r="AK57" s="1">
        <v>0</v>
      </c>
      <c r="AL57" s="1">
        <v>0</v>
      </c>
      <c r="AM57" s="1">
        <v>0</v>
      </c>
      <c r="AN57" s="1">
        <v>0</v>
      </c>
    </row>
    <row r="58" spans="1:40" x14ac:dyDescent="0.3">
      <c r="A58" s="10">
        <v>45804</v>
      </c>
      <c r="B58" s="1">
        <v>0</v>
      </c>
      <c r="C58" s="1">
        <v>0</v>
      </c>
      <c r="D58" s="1">
        <v>0</v>
      </c>
      <c r="E58" s="1">
        <v>0</v>
      </c>
      <c r="F58" s="1">
        <v>0</v>
      </c>
      <c r="G58" s="1">
        <v>0</v>
      </c>
      <c r="H58" s="1">
        <v>2</v>
      </c>
      <c r="I58" s="1">
        <v>0</v>
      </c>
      <c r="J58" s="1"/>
      <c r="K58" s="1">
        <v>0</v>
      </c>
      <c r="L58" s="1">
        <v>14</v>
      </c>
      <c r="M58" s="1">
        <v>0</v>
      </c>
      <c r="N58" s="1">
        <v>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">
        <v>0</v>
      </c>
      <c r="AE58" s="1">
        <v>0</v>
      </c>
      <c r="AF58" s="1">
        <v>0</v>
      </c>
      <c r="AG58" s="1">
        <v>0</v>
      </c>
      <c r="AH58" s="1">
        <v>0</v>
      </c>
      <c r="AI58" s="1">
        <v>0</v>
      </c>
      <c r="AJ58" s="1">
        <v>1</v>
      </c>
      <c r="AK58" s="1">
        <v>1</v>
      </c>
      <c r="AL58" s="1">
        <v>0</v>
      </c>
      <c r="AM58" s="1">
        <v>0</v>
      </c>
      <c r="AN58" s="1">
        <v>0</v>
      </c>
    </row>
    <row r="59" spans="1:40" x14ac:dyDescent="0.3">
      <c r="A59" s="10">
        <v>45805</v>
      </c>
      <c r="B59" s="1">
        <v>0</v>
      </c>
      <c r="C59" s="1">
        <v>0</v>
      </c>
      <c r="D59" s="1">
        <v>0</v>
      </c>
      <c r="E59" s="1">
        <v>0</v>
      </c>
      <c r="F59" s="1">
        <v>0</v>
      </c>
      <c r="G59" s="1">
        <v>0</v>
      </c>
      <c r="H59" s="1">
        <v>2</v>
      </c>
      <c r="I59" s="1">
        <v>0</v>
      </c>
      <c r="J59" s="1"/>
      <c r="K59" s="1">
        <v>0</v>
      </c>
      <c r="L59" s="1">
        <v>2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  <c r="AE59" s="1">
        <v>0</v>
      </c>
      <c r="AF59" s="1">
        <v>0</v>
      </c>
      <c r="AG59" s="1">
        <v>0</v>
      </c>
      <c r="AH59" s="1">
        <v>0</v>
      </c>
      <c r="AI59" s="1">
        <v>0</v>
      </c>
      <c r="AJ59" s="1">
        <v>2</v>
      </c>
      <c r="AK59" s="1">
        <v>0</v>
      </c>
      <c r="AL59" s="1">
        <v>0</v>
      </c>
      <c r="AM59" s="1">
        <v>0</v>
      </c>
      <c r="AN59" s="1">
        <v>0</v>
      </c>
    </row>
    <row r="60" spans="1:40" x14ac:dyDescent="0.3">
      <c r="A60" s="10">
        <v>45806</v>
      </c>
      <c r="B60" s="1">
        <v>0</v>
      </c>
      <c r="C60" s="1">
        <v>0</v>
      </c>
      <c r="D60" s="1">
        <v>0</v>
      </c>
      <c r="E60" s="1">
        <v>0</v>
      </c>
      <c r="F60" s="1">
        <v>0</v>
      </c>
      <c r="G60" s="1">
        <v>0</v>
      </c>
      <c r="H60" s="1">
        <v>2</v>
      </c>
      <c r="I60" s="1">
        <v>0</v>
      </c>
      <c r="J60" s="1"/>
      <c r="K60" s="1">
        <v>0</v>
      </c>
      <c r="L60" s="1">
        <v>187</v>
      </c>
      <c r="M60" s="1">
        <v>0</v>
      </c>
      <c r="N60" s="1">
        <v>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F60" s="1">
        <v>0</v>
      </c>
      <c r="AG60" s="1">
        <v>0</v>
      </c>
      <c r="AH60" s="1">
        <v>0</v>
      </c>
      <c r="AI60" s="1">
        <v>0</v>
      </c>
      <c r="AJ60" s="1">
        <v>2</v>
      </c>
      <c r="AK60" s="1">
        <v>0</v>
      </c>
      <c r="AL60" s="1">
        <v>0</v>
      </c>
      <c r="AM60" s="1">
        <v>0</v>
      </c>
      <c r="AN60" s="1">
        <v>0</v>
      </c>
    </row>
    <row r="61" spans="1:40" x14ac:dyDescent="0.3">
      <c r="A61" s="10">
        <v>45807</v>
      </c>
      <c r="B61" s="1">
        <v>0</v>
      </c>
      <c r="C61" s="1">
        <v>0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  <c r="I61" s="1">
        <v>0</v>
      </c>
      <c r="J61" s="1"/>
      <c r="K61" s="1">
        <v>0</v>
      </c>
      <c r="L61" s="1">
        <v>57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  <c r="AE61" s="1">
        <v>0</v>
      </c>
      <c r="AF61" s="1">
        <v>0</v>
      </c>
      <c r="AG61" s="1">
        <v>0</v>
      </c>
      <c r="AH61" s="1">
        <v>0</v>
      </c>
      <c r="AI61" s="1">
        <v>0</v>
      </c>
      <c r="AJ61" s="1">
        <v>0</v>
      </c>
      <c r="AK61" s="1">
        <v>0</v>
      </c>
      <c r="AL61" s="1">
        <v>0</v>
      </c>
      <c r="AM61" s="1">
        <v>0</v>
      </c>
      <c r="AN61" s="1">
        <v>0</v>
      </c>
    </row>
    <row r="62" spans="1:40" x14ac:dyDescent="0.3">
      <c r="A62" s="10">
        <v>45808</v>
      </c>
      <c r="B62" s="1">
        <v>0</v>
      </c>
      <c r="C62" s="1">
        <v>0</v>
      </c>
      <c r="D62" s="1">
        <v>0</v>
      </c>
      <c r="E62" s="1">
        <v>0</v>
      </c>
      <c r="F62" s="1">
        <v>0</v>
      </c>
      <c r="G62" s="1">
        <v>0</v>
      </c>
      <c r="H62" s="1">
        <v>2</v>
      </c>
      <c r="I62" s="1">
        <v>0</v>
      </c>
      <c r="J62" s="1"/>
      <c r="K62" s="1">
        <v>0</v>
      </c>
      <c r="L62" s="1">
        <v>117</v>
      </c>
      <c r="M62" s="1">
        <v>0</v>
      </c>
      <c r="N62" s="1">
        <v>0</v>
      </c>
      <c r="O62" s="1">
        <v>1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1">
        <v>0</v>
      </c>
      <c r="AB62" s="1">
        <v>0</v>
      </c>
      <c r="AC62" s="1">
        <v>0</v>
      </c>
      <c r="AD62" s="1">
        <v>0</v>
      </c>
      <c r="AE62" s="1">
        <v>0</v>
      </c>
      <c r="AF62" s="1">
        <v>0</v>
      </c>
      <c r="AG62" s="1">
        <v>0</v>
      </c>
      <c r="AH62" s="1">
        <v>0</v>
      </c>
      <c r="AI62" s="1">
        <v>0</v>
      </c>
      <c r="AJ62" s="1">
        <v>2</v>
      </c>
      <c r="AK62" s="1">
        <v>0</v>
      </c>
      <c r="AL62" s="1">
        <v>0</v>
      </c>
      <c r="AM62" s="1">
        <v>0</v>
      </c>
      <c r="AN62" s="1">
        <v>0</v>
      </c>
    </row>
    <row r="63" spans="1:40" x14ac:dyDescent="0.3">
      <c r="A63" s="10">
        <v>45809</v>
      </c>
      <c r="B63" s="1">
        <v>0</v>
      </c>
      <c r="C63" s="1">
        <v>0</v>
      </c>
      <c r="D63" s="1">
        <v>0</v>
      </c>
      <c r="E63" s="1">
        <v>0</v>
      </c>
      <c r="F63" s="1">
        <v>0</v>
      </c>
      <c r="G63" s="1">
        <v>0</v>
      </c>
      <c r="H63" s="1">
        <v>0</v>
      </c>
      <c r="I63" s="1">
        <v>0</v>
      </c>
      <c r="J63" s="1"/>
      <c r="K63" s="1">
        <v>0</v>
      </c>
      <c r="L63" s="1">
        <v>105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1">
        <v>0</v>
      </c>
      <c r="AB63" s="1">
        <v>0</v>
      </c>
      <c r="AC63" s="1">
        <v>0</v>
      </c>
      <c r="AD63" s="1">
        <v>0</v>
      </c>
      <c r="AE63" s="1">
        <v>0</v>
      </c>
      <c r="AF63" s="1">
        <v>0</v>
      </c>
      <c r="AG63" s="1">
        <v>0</v>
      </c>
      <c r="AH63" s="1">
        <v>0</v>
      </c>
      <c r="AI63" s="1">
        <v>0</v>
      </c>
      <c r="AJ63" s="1">
        <v>0</v>
      </c>
      <c r="AK63" s="1">
        <v>0</v>
      </c>
      <c r="AL63" s="1">
        <v>0</v>
      </c>
      <c r="AM63" s="1">
        <v>0</v>
      </c>
      <c r="AN63" s="1">
        <v>0</v>
      </c>
    </row>
    <row r="64" spans="1:40" x14ac:dyDescent="0.3">
      <c r="A64" s="10">
        <v>45810</v>
      </c>
      <c r="B64" s="1">
        <v>0</v>
      </c>
      <c r="C64" s="1">
        <v>0</v>
      </c>
      <c r="D64" s="1">
        <v>0</v>
      </c>
      <c r="E64" s="1">
        <v>0</v>
      </c>
      <c r="F64" s="1">
        <v>0</v>
      </c>
      <c r="G64" s="1">
        <v>0</v>
      </c>
      <c r="H64" s="1">
        <v>4</v>
      </c>
      <c r="I64" s="1">
        <v>0</v>
      </c>
      <c r="J64" s="1"/>
      <c r="K64" s="1">
        <v>0</v>
      </c>
      <c r="L64" s="1">
        <v>391</v>
      </c>
      <c r="M64" s="1">
        <v>0</v>
      </c>
      <c r="N64" s="1">
        <v>0</v>
      </c>
      <c r="O64" s="1">
        <v>0</v>
      </c>
      <c r="P64" s="1">
        <v>0</v>
      </c>
      <c r="Q64" s="1">
        <v>0</v>
      </c>
      <c r="R64" s="1">
        <v>0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1">
        <v>0</v>
      </c>
      <c r="AB64" s="1">
        <v>0</v>
      </c>
      <c r="AC64" s="1">
        <v>0</v>
      </c>
      <c r="AD64" s="1">
        <v>0</v>
      </c>
      <c r="AE64" s="1">
        <v>0</v>
      </c>
      <c r="AF64" s="1">
        <v>0</v>
      </c>
      <c r="AG64" s="1">
        <v>0</v>
      </c>
      <c r="AH64" s="1">
        <v>0</v>
      </c>
      <c r="AI64" s="1">
        <v>0</v>
      </c>
      <c r="AJ64" s="1">
        <v>4</v>
      </c>
      <c r="AK64" s="1">
        <v>0</v>
      </c>
      <c r="AL64" s="1">
        <v>0</v>
      </c>
      <c r="AM64" s="1">
        <v>0</v>
      </c>
      <c r="AN64" s="1">
        <v>0</v>
      </c>
    </row>
    <row r="65" spans="1:40" x14ac:dyDescent="0.3">
      <c r="A65" s="10">
        <v>45811</v>
      </c>
      <c r="B65" s="1">
        <v>0</v>
      </c>
      <c r="C65" s="1">
        <v>0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v>0</v>
      </c>
      <c r="J65" s="1"/>
      <c r="K65" s="1">
        <v>0</v>
      </c>
      <c r="L65" s="1">
        <v>171</v>
      </c>
      <c r="M65" s="1">
        <v>0</v>
      </c>
      <c r="N65" s="1">
        <v>0</v>
      </c>
      <c r="O65" s="1">
        <v>6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1">
        <v>0</v>
      </c>
      <c r="AB65" s="1">
        <v>0</v>
      </c>
      <c r="AC65" s="1">
        <v>0</v>
      </c>
      <c r="AD65" s="1">
        <v>0</v>
      </c>
      <c r="AE65" s="1">
        <v>0</v>
      </c>
      <c r="AF65" s="1">
        <v>0</v>
      </c>
      <c r="AG65" s="1">
        <v>0</v>
      </c>
      <c r="AH65" s="1">
        <v>0</v>
      </c>
      <c r="AI65" s="1">
        <v>0</v>
      </c>
      <c r="AJ65" s="1">
        <v>0</v>
      </c>
      <c r="AK65" s="1">
        <v>0</v>
      </c>
      <c r="AL65" s="1">
        <v>0</v>
      </c>
      <c r="AM65" s="1">
        <v>0</v>
      </c>
      <c r="AN65" s="1">
        <v>0</v>
      </c>
    </row>
    <row r="66" spans="1:40" x14ac:dyDescent="0.3">
      <c r="A66" s="10">
        <v>45812</v>
      </c>
      <c r="B66" s="1">
        <v>0</v>
      </c>
      <c r="C66" s="1">
        <v>0</v>
      </c>
      <c r="D66" s="1">
        <v>0</v>
      </c>
      <c r="E66" s="1">
        <v>0</v>
      </c>
      <c r="F66" s="1">
        <v>0</v>
      </c>
      <c r="G66" s="1">
        <v>0</v>
      </c>
      <c r="H66" s="1">
        <v>2</v>
      </c>
      <c r="I66" s="1">
        <v>0</v>
      </c>
      <c r="J66" s="1"/>
      <c r="K66" s="1">
        <v>0</v>
      </c>
      <c r="L66" s="1">
        <v>435</v>
      </c>
      <c r="M66" s="1">
        <v>0</v>
      </c>
      <c r="N66" s="1">
        <v>0</v>
      </c>
      <c r="O66" s="1">
        <v>18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  <c r="AC66" s="1">
        <v>0</v>
      </c>
      <c r="AD66" s="1">
        <v>0</v>
      </c>
      <c r="AE66" s="1">
        <v>0</v>
      </c>
      <c r="AF66" s="1">
        <v>0</v>
      </c>
      <c r="AG66" s="1">
        <v>0</v>
      </c>
      <c r="AH66" s="1">
        <v>0</v>
      </c>
      <c r="AI66" s="1">
        <v>0</v>
      </c>
      <c r="AJ66" s="1">
        <v>1</v>
      </c>
      <c r="AK66" s="1">
        <v>1</v>
      </c>
      <c r="AL66" s="1">
        <v>0</v>
      </c>
      <c r="AM66" s="1">
        <v>0</v>
      </c>
      <c r="AN66" s="1">
        <v>0</v>
      </c>
    </row>
    <row r="67" spans="1:40" x14ac:dyDescent="0.3">
      <c r="A67" s="10">
        <v>45813</v>
      </c>
      <c r="B67" s="1">
        <v>0</v>
      </c>
      <c r="C67" s="1">
        <v>0</v>
      </c>
      <c r="D67" s="1">
        <v>0</v>
      </c>
      <c r="E67" s="1">
        <v>0</v>
      </c>
      <c r="F67" s="1">
        <v>0</v>
      </c>
      <c r="G67" s="1">
        <v>0</v>
      </c>
      <c r="H67" s="1">
        <v>2</v>
      </c>
      <c r="I67" s="1">
        <v>0</v>
      </c>
      <c r="J67" s="1"/>
      <c r="K67" s="1">
        <v>0</v>
      </c>
      <c r="L67" s="1">
        <v>94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J67" s="1">
        <v>2</v>
      </c>
      <c r="AK67" s="1">
        <v>0</v>
      </c>
      <c r="AL67" s="1">
        <v>0</v>
      </c>
      <c r="AM67" s="1">
        <v>0</v>
      </c>
      <c r="AN67" s="1">
        <v>0</v>
      </c>
    </row>
    <row r="68" spans="1:40" x14ac:dyDescent="0.3">
      <c r="A68" s="10">
        <v>45814</v>
      </c>
      <c r="B68" s="1">
        <v>0</v>
      </c>
      <c r="C68" s="1">
        <v>0</v>
      </c>
      <c r="D68" s="1">
        <v>0</v>
      </c>
      <c r="E68" s="1">
        <v>0</v>
      </c>
      <c r="F68" s="1">
        <v>0</v>
      </c>
      <c r="G68" s="1">
        <v>0</v>
      </c>
      <c r="H68" s="1">
        <v>1</v>
      </c>
      <c r="I68" s="1">
        <v>0</v>
      </c>
      <c r="J68" s="1"/>
      <c r="K68" s="1">
        <v>0</v>
      </c>
      <c r="L68" s="1">
        <v>112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J68" s="1">
        <v>1</v>
      </c>
      <c r="AK68" s="1">
        <v>0</v>
      </c>
      <c r="AL68" s="1">
        <v>0</v>
      </c>
      <c r="AM68" s="1">
        <v>0</v>
      </c>
      <c r="AN68" s="1">
        <v>0</v>
      </c>
    </row>
    <row r="69" spans="1:40" x14ac:dyDescent="0.3">
      <c r="A69" s="10">
        <v>45815</v>
      </c>
      <c r="B69" s="1">
        <v>0</v>
      </c>
      <c r="C69" s="1">
        <v>0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/>
      <c r="K69" s="1">
        <v>0</v>
      </c>
      <c r="L69" s="1">
        <v>686</v>
      </c>
      <c r="M69" s="1">
        <v>0</v>
      </c>
      <c r="N69" s="1">
        <v>0</v>
      </c>
      <c r="O69" s="1">
        <v>6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G69" s="1">
        <v>0</v>
      </c>
      <c r="AH69" s="1">
        <v>0</v>
      </c>
      <c r="AI69" s="1">
        <v>0</v>
      </c>
      <c r="AJ69" s="1">
        <v>0</v>
      </c>
      <c r="AK69" s="1">
        <v>0</v>
      </c>
      <c r="AL69" s="1">
        <v>0</v>
      </c>
      <c r="AM69" s="1">
        <v>0</v>
      </c>
      <c r="AN69" s="1">
        <v>0</v>
      </c>
    </row>
    <row r="70" spans="1:40" x14ac:dyDescent="0.3">
      <c r="A70" s="10">
        <v>45816</v>
      </c>
      <c r="B70" s="1">
        <v>0</v>
      </c>
      <c r="C70" s="1">
        <v>0</v>
      </c>
      <c r="D70" s="1">
        <v>0</v>
      </c>
      <c r="E70" s="1">
        <v>0</v>
      </c>
      <c r="F70" s="1">
        <v>0</v>
      </c>
      <c r="G70" s="1">
        <v>0</v>
      </c>
      <c r="H70" s="1">
        <v>1</v>
      </c>
      <c r="I70" s="1">
        <v>0</v>
      </c>
      <c r="J70" s="1"/>
      <c r="K70" s="1">
        <v>0</v>
      </c>
      <c r="L70" s="1">
        <v>466</v>
      </c>
      <c r="M70" s="1">
        <v>0</v>
      </c>
      <c r="N70" s="1">
        <v>0</v>
      </c>
      <c r="O70" s="1">
        <v>16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0</v>
      </c>
      <c r="AG70" s="1">
        <v>0</v>
      </c>
      <c r="AH70" s="1">
        <v>0</v>
      </c>
      <c r="AI70" s="1">
        <v>0</v>
      </c>
      <c r="AJ70" s="1">
        <v>1</v>
      </c>
      <c r="AK70" s="1">
        <v>0</v>
      </c>
      <c r="AL70" s="1">
        <v>0</v>
      </c>
      <c r="AM70" s="1">
        <v>0</v>
      </c>
      <c r="AN70" s="1">
        <v>0</v>
      </c>
    </row>
    <row r="71" spans="1:40" x14ac:dyDescent="0.3">
      <c r="A71" s="10">
        <v>45817</v>
      </c>
      <c r="B71" s="1">
        <v>0</v>
      </c>
      <c r="C71" s="1">
        <v>0</v>
      </c>
      <c r="D71" s="1">
        <v>0</v>
      </c>
      <c r="E71" s="1">
        <v>0</v>
      </c>
      <c r="F71" s="1">
        <v>0</v>
      </c>
      <c r="G71" s="1">
        <v>0</v>
      </c>
      <c r="H71" s="1">
        <v>2</v>
      </c>
      <c r="I71" s="1">
        <v>0</v>
      </c>
      <c r="J71" s="1"/>
      <c r="K71" s="1">
        <v>0</v>
      </c>
      <c r="L71" s="1">
        <v>1159</v>
      </c>
      <c r="M71" s="1">
        <v>0</v>
      </c>
      <c r="N71" s="1">
        <v>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J71" s="1">
        <v>2</v>
      </c>
      <c r="AK71" s="1">
        <v>0</v>
      </c>
      <c r="AL71" s="1">
        <v>0</v>
      </c>
      <c r="AM71" s="1">
        <v>0</v>
      </c>
      <c r="AN71" s="1">
        <v>0</v>
      </c>
    </row>
    <row r="72" spans="1:40" x14ac:dyDescent="0.3">
      <c r="A72" s="10">
        <v>45818</v>
      </c>
      <c r="B72" s="1">
        <v>0</v>
      </c>
      <c r="C72" s="1">
        <v>0</v>
      </c>
      <c r="D72" s="1">
        <v>0</v>
      </c>
      <c r="E72" s="1">
        <v>0</v>
      </c>
      <c r="F72" s="1">
        <v>0</v>
      </c>
      <c r="G72" s="1">
        <v>0</v>
      </c>
      <c r="H72" s="1">
        <v>2</v>
      </c>
      <c r="I72" s="1">
        <v>0</v>
      </c>
      <c r="J72" s="1"/>
      <c r="K72" s="1">
        <v>0</v>
      </c>
      <c r="L72" s="1">
        <v>185</v>
      </c>
      <c r="M72" s="1">
        <v>0</v>
      </c>
      <c r="N72" s="1">
        <v>0</v>
      </c>
      <c r="O72" s="1">
        <v>31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0</v>
      </c>
      <c r="AG72" s="1">
        <v>0</v>
      </c>
      <c r="AH72" s="1">
        <v>0</v>
      </c>
      <c r="AI72" s="1">
        <v>0</v>
      </c>
      <c r="AJ72" s="1">
        <v>2</v>
      </c>
      <c r="AK72" s="1">
        <v>0</v>
      </c>
      <c r="AL72" s="1">
        <v>0</v>
      </c>
      <c r="AM72" s="1">
        <v>0</v>
      </c>
      <c r="AN72" s="1">
        <v>0</v>
      </c>
    </row>
    <row r="73" spans="1:40" x14ac:dyDescent="0.3">
      <c r="A73" s="10">
        <v>45819</v>
      </c>
      <c r="B73" s="1">
        <v>0</v>
      </c>
      <c r="C73" s="1">
        <v>0</v>
      </c>
      <c r="D73" s="1">
        <v>0</v>
      </c>
      <c r="E73" s="1">
        <v>0</v>
      </c>
      <c r="F73" s="1">
        <v>0</v>
      </c>
      <c r="G73" s="1">
        <v>0</v>
      </c>
      <c r="H73" s="1">
        <v>1</v>
      </c>
      <c r="I73" s="1">
        <v>1</v>
      </c>
      <c r="J73" s="1"/>
      <c r="K73" s="1">
        <v>0</v>
      </c>
      <c r="L73" s="1">
        <v>138</v>
      </c>
      <c r="M73" s="1">
        <v>0</v>
      </c>
      <c r="N73" s="1">
        <v>0</v>
      </c>
      <c r="O73" s="1">
        <v>32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">
        <v>0</v>
      </c>
      <c r="AC73" s="1">
        <v>0</v>
      </c>
      <c r="AD73" s="1">
        <v>0</v>
      </c>
      <c r="AE73" s="1">
        <v>0</v>
      </c>
      <c r="AF73" s="1">
        <v>0</v>
      </c>
      <c r="AG73" s="1">
        <v>0</v>
      </c>
      <c r="AH73" s="1">
        <v>0</v>
      </c>
      <c r="AI73" s="1">
        <v>0</v>
      </c>
      <c r="AJ73" s="1">
        <v>1</v>
      </c>
      <c r="AK73" s="1">
        <v>0</v>
      </c>
      <c r="AL73" s="1">
        <v>0</v>
      </c>
      <c r="AM73" s="1">
        <v>1</v>
      </c>
      <c r="AN73" s="1">
        <v>0</v>
      </c>
    </row>
    <row r="74" spans="1:40" x14ac:dyDescent="0.3">
      <c r="A74" s="10">
        <v>45820</v>
      </c>
      <c r="B74" s="1">
        <v>0</v>
      </c>
      <c r="C74" s="1">
        <v>0</v>
      </c>
      <c r="D74" s="1">
        <v>0</v>
      </c>
      <c r="E74" s="1">
        <v>0</v>
      </c>
      <c r="F74" s="1">
        <v>0</v>
      </c>
      <c r="G74" s="1">
        <v>0</v>
      </c>
      <c r="H74" s="1">
        <v>1</v>
      </c>
      <c r="I74" s="1">
        <v>0</v>
      </c>
      <c r="J74" s="1"/>
      <c r="K74" s="1">
        <v>0</v>
      </c>
      <c r="L74" s="1">
        <v>572</v>
      </c>
      <c r="M74" s="1">
        <v>0</v>
      </c>
      <c r="N74" s="1">
        <v>0</v>
      </c>
      <c r="O74" s="1">
        <v>61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1">
        <v>0</v>
      </c>
      <c r="AB74" s="1">
        <v>0</v>
      </c>
      <c r="AC74" s="1">
        <v>0</v>
      </c>
      <c r="AD74" s="1">
        <v>0</v>
      </c>
      <c r="AE74" s="1">
        <v>0</v>
      </c>
      <c r="AF74" s="1">
        <v>0</v>
      </c>
      <c r="AG74" s="1">
        <v>0</v>
      </c>
      <c r="AH74" s="1">
        <v>0</v>
      </c>
      <c r="AI74" s="1">
        <v>0</v>
      </c>
      <c r="AJ74" s="1">
        <v>1</v>
      </c>
      <c r="AK74" s="1">
        <v>0</v>
      </c>
      <c r="AL74" s="1">
        <v>0</v>
      </c>
      <c r="AM74" s="1">
        <v>0</v>
      </c>
      <c r="AN74" s="1">
        <v>0</v>
      </c>
    </row>
    <row r="75" spans="1:40" x14ac:dyDescent="0.3">
      <c r="A75" s="10">
        <v>45821</v>
      </c>
      <c r="B75" s="1">
        <v>0</v>
      </c>
      <c r="C75" s="1">
        <v>0</v>
      </c>
      <c r="D75" s="1">
        <v>0</v>
      </c>
      <c r="E75" s="1">
        <v>0</v>
      </c>
      <c r="F75" s="1">
        <v>0</v>
      </c>
      <c r="G75" s="1">
        <v>0</v>
      </c>
      <c r="H75" s="1">
        <v>1</v>
      </c>
      <c r="I75" s="1">
        <v>0</v>
      </c>
      <c r="J75" s="1"/>
      <c r="K75" s="1">
        <v>0</v>
      </c>
      <c r="L75" s="1">
        <v>1416</v>
      </c>
      <c r="M75" s="1">
        <v>0</v>
      </c>
      <c r="N75" s="1">
        <v>0</v>
      </c>
      <c r="O75" s="1">
        <v>118</v>
      </c>
      <c r="P75" s="1">
        <v>0</v>
      </c>
      <c r="Q75" s="1">
        <v>0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0</v>
      </c>
      <c r="AB75" s="1">
        <v>0</v>
      </c>
      <c r="AC75" s="1">
        <v>0</v>
      </c>
      <c r="AD75" s="1">
        <v>0</v>
      </c>
      <c r="AE75" s="1">
        <v>0</v>
      </c>
      <c r="AF75" s="1">
        <v>0</v>
      </c>
      <c r="AG75" s="1">
        <v>0</v>
      </c>
      <c r="AH75" s="1">
        <v>0</v>
      </c>
      <c r="AI75" s="1">
        <v>0</v>
      </c>
      <c r="AJ75" s="1">
        <v>1</v>
      </c>
      <c r="AK75" s="1">
        <v>0</v>
      </c>
      <c r="AL75" s="1">
        <v>0</v>
      </c>
      <c r="AM75" s="1">
        <v>0</v>
      </c>
      <c r="AN75" s="1">
        <v>0</v>
      </c>
    </row>
    <row r="76" spans="1:40" x14ac:dyDescent="0.3">
      <c r="A76" s="10">
        <v>45822</v>
      </c>
      <c r="B76" s="1">
        <v>0</v>
      </c>
      <c r="C76" s="1">
        <v>0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2</v>
      </c>
      <c r="J76" s="1"/>
      <c r="K76" s="1">
        <v>0</v>
      </c>
      <c r="L76" s="1">
        <v>989</v>
      </c>
      <c r="M76" s="1">
        <v>0</v>
      </c>
      <c r="N76" s="1">
        <v>0</v>
      </c>
      <c r="O76" s="1">
        <v>62</v>
      </c>
      <c r="P76" s="1">
        <v>0</v>
      </c>
      <c r="Q76" s="1">
        <v>0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  <c r="AC76" s="1">
        <v>0</v>
      </c>
      <c r="AD76" s="1">
        <v>0</v>
      </c>
      <c r="AE76" s="1">
        <v>0</v>
      </c>
      <c r="AF76" s="1">
        <v>0</v>
      </c>
      <c r="AG76" s="1">
        <v>0</v>
      </c>
      <c r="AH76" s="1">
        <v>0</v>
      </c>
      <c r="AI76" s="1">
        <v>0</v>
      </c>
      <c r="AJ76" s="1">
        <v>0</v>
      </c>
      <c r="AK76" s="1">
        <v>0</v>
      </c>
      <c r="AL76" s="1">
        <v>0</v>
      </c>
      <c r="AM76" s="1">
        <v>2</v>
      </c>
      <c r="AN76" s="1">
        <v>0</v>
      </c>
    </row>
    <row r="77" spans="1:40" x14ac:dyDescent="0.3">
      <c r="A77" s="10">
        <v>45823</v>
      </c>
      <c r="B77" s="1">
        <v>0</v>
      </c>
      <c r="C77" s="1">
        <v>0</v>
      </c>
      <c r="D77" s="1">
        <v>0</v>
      </c>
      <c r="E77" s="1">
        <v>0</v>
      </c>
      <c r="F77" s="1">
        <v>0</v>
      </c>
      <c r="G77" s="1">
        <v>0</v>
      </c>
      <c r="H77" s="1">
        <v>2</v>
      </c>
      <c r="I77" s="1">
        <v>0</v>
      </c>
      <c r="J77" s="1"/>
      <c r="K77" s="1">
        <v>0</v>
      </c>
      <c r="L77" s="1">
        <v>1664</v>
      </c>
      <c r="M77" s="1">
        <v>0</v>
      </c>
      <c r="N77" s="1">
        <v>0</v>
      </c>
      <c r="O77" s="1">
        <v>151</v>
      </c>
      <c r="P77" s="1">
        <v>0</v>
      </c>
      <c r="Q77" s="1">
        <v>0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1">
        <v>0</v>
      </c>
      <c r="AB77" s="1">
        <v>0</v>
      </c>
      <c r="AC77" s="1">
        <v>0</v>
      </c>
      <c r="AD77" s="1">
        <v>0</v>
      </c>
      <c r="AE77" s="1">
        <v>0</v>
      </c>
      <c r="AF77" s="1">
        <v>0</v>
      </c>
      <c r="AG77" s="1">
        <v>0</v>
      </c>
      <c r="AH77" s="1">
        <v>0</v>
      </c>
      <c r="AI77" s="1">
        <v>0</v>
      </c>
      <c r="AJ77" s="1">
        <v>2</v>
      </c>
      <c r="AK77" s="1">
        <v>0</v>
      </c>
      <c r="AL77" s="1">
        <v>0</v>
      </c>
      <c r="AM77" s="1">
        <v>0</v>
      </c>
      <c r="AN77" s="1">
        <v>0</v>
      </c>
    </row>
    <row r="78" spans="1:40" x14ac:dyDescent="0.3">
      <c r="A78" s="10">
        <v>45824</v>
      </c>
      <c r="B78" s="1">
        <v>0</v>
      </c>
      <c r="C78" s="1">
        <v>0</v>
      </c>
      <c r="D78" s="1">
        <v>0</v>
      </c>
      <c r="E78" s="1">
        <v>0</v>
      </c>
      <c r="F78" s="1">
        <v>0</v>
      </c>
      <c r="G78" s="1">
        <v>0</v>
      </c>
      <c r="H78" s="1">
        <v>4</v>
      </c>
      <c r="I78" s="1">
        <v>0</v>
      </c>
      <c r="J78" s="1"/>
      <c r="K78" s="1">
        <v>0</v>
      </c>
      <c r="L78" s="1">
        <v>4658</v>
      </c>
      <c r="M78" s="1">
        <v>0</v>
      </c>
      <c r="N78" s="1">
        <v>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">
        <v>0</v>
      </c>
      <c r="AC78" s="1">
        <v>0</v>
      </c>
      <c r="AD78" s="1">
        <v>0</v>
      </c>
      <c r="AE78" s="1">
        <v>0</v>
      </c>
      <c r="AF78" s="1">
        <v>0</v>
      </c>
      <c r="AG78" s="1">
        <v>0</v>
      </c>
      <c r="AH78" s="1">
        <v>0</v>
      </c>
      <c r="AI78" s="1">
        <v>0</v>
      </c>
      <c r="AJ78" s="1">
        <v>4</v>
      </c>
      <c r="AK78" s="1">
        <v>0</v>
      </c>
      <c r="AL78" s="1">
        <v>0</v>
      </c>
      <c r="AM78" s="1">
        <v>0</v>
      </c>
      <c r="AN78" s="1">
        <v>0</v>
      </c>
    </row>
    <row r="79" spans="1:40" x14ac:dyDescent="0.3">
      <c r="A79" s="10">
        <v>45825</v>
      </c>
      <c r="B79" s="1">
        <v>0</v>
      </c>
      <c r="C79" s="1">
        <v>0</v>
      </c>
      <c r="D79" s="1">
        <v>0</v>
      </c>
      <c r="E79" s="1">
        <v>0</v>
      </c>
      <c r="F79" s="1">
        <v>0</v>
      </c>
      <c r="G79" s="1">
        <v>0</v>
      </c>
      <c r="H79" s="1">
        <v>1</v>
      </c>
      <c r="I79" s="1">
        <v>0</v>
      </c>
      <c r="J79" s="1"/>
      <c r="K79" s="1">
        <v>0</v>
      </c>
      <c r="L79" s="1">
        <v>10565</v>
      </c>
      <c r="M79" s="1">
        <v>0</v>
      </c>
      <c r="N79" s="1">
        <v>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  <c r="AB79" s="1">
        <v>0</v>
      </c>
      <c r="AC79" s="1">
        <v>0</v>
      </c>
      <c r="AD79" s="1">
        <v>0</v>
      </c>
      <c r="AE79" s="1">
        <v>0</v>
      </c>
      <c r="AF79" s="1">
        <v>0</v>
      </c>
      <c r="AG79" s="1">
        <v>0</v>
      </c>
      <c r="AH79" s="1">
        <v>0</v>
      </c>
      <c r="AI79" s="1">
        <v>0</v>
      </c>
      <c r="AJ79" s="1">
        <v>1</v>
      </c>
      <c r="AK79" s="1">
        <v>0</v>
      </c>
      <c r="AL79" s="1">
        <v>0</v>
      </c>
      <c r="AM79" s="1">
        <v>0</v>
      </c>
      <c r="AN79" s="1">
        <v>0</v>
      </c>
    </row>
    <row r="80" spans="1:40" x14ac:dyDescent="0.3">
      <c r="A80" s="10">
        <v>45826</v>
      </c>
      <c r="B80" s="1">
        <v>0</v>
      </c>
      <c r="C80" s="1">
        <v>0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/>
      <c r="K80" s="1">
        <v>0</v>
      </c>
      <c r="L80" s="1">
        <v>7033</v>
      </c>
      <c r="M80" s="1">
        <v>0</v>
      </c>
      <c r="N80" s="1">
        <v>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1">
        <v>0</v>
      </c>
      <c r="AB80" s="1">
        <v>0</v>
      </c>
      <c r="AC80" s="1">
        <v>0</v>
      </c>
      <c r="AD80" s="1">
        <v>0</v>
      </c>
      <c r="AE80" s="1">
        <v>0</v>
      </c>
      <c r="AF80" s="1">
        <v>0</v>
      </c>
      <c r="AG80" s="1">
        <v>0</v>
      </c>
      <c r="AH80" s="1">
        <v>0</v>
      </c>
      <c r="AI80" s="1">
        <v>0</v>
      </c>
      <c r="AJ80" s="1">
        <v>0</v>
      </c>
      <c r="AK80" s="1">
        <v>0</v>
      </c>
      <c r="AL80" s="1">
        <v>0</v>
      </c>
      <c r="AM80" s="1">
        <v>0</v>
      </c>
      <c r="AN80" s="1">
        <v>0</v>
      </c>
    </row>
    <row r="81" spans="1:40" x14ac:dyDescent="0.3">
      <c r="A81" s="10">
        <v>45827</v>
      </c>
      <c r="B81" s="1">
        <v>0</v>
      </c>
      <c r="C81" s="1">
        <v>0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0</v>
      </c>
      <c r="J81" s="1"/>
      <c r="K81" s="1">
        <v>0</v>
      </c>
      <c r="L81" s="1">
        <v>8375</v>
      </c>
      <c r="M81" s="1">
        <v>0</v>
      </c>
      <c r="N81" s="1">
        <v>0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0</v>
      </c>
      <c r="AB81" s="1">
        <v>0</v>
      </c>
      <c r="AC81" s="1">
        <v>0</v>
      </c>
      <c r="AD81" s="1">
        <v>0</v>
      </c>
      <c r="AE81" s="1">
        <v>0</v>
      </c>
      <c r="AF81" s="1">
        <v>0</v>
      </c>
      <c r="AG81" s="1">
        <v>0</v>
      </c>
      <c r="AH81" s="1">
        <v>0</v>
      </c>
      <c r="AI81" s="1">
        <v>0</v>
      </c>
      <c r="AJ81" s="1">
        <v>0</v>
      </c>
      <c r="AK81" s="1">
        <v>0</v>
      </c>
      <c r="AL81" s="1">
        <v>0</v>
      </c>
      <c r="AM81" s="1">
        <v>0</v>
      </c>
      <c r="AN81" s="1">
        <v>0</v>
      </c>
    </row>
    <row r="82" spans="1:40" x14ac:dyDescent="0.3">
      <c r="A82" s="10">
        <v>45828</v>
      </c>
      <c r="B82" s="1">
        <v>0</v>
      </c>
      <c r="C82" s="1">
        <v>0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0</v>
      </c>
      <c r="J82" s="1"/>
      <c r="K82" s="1">
        <v>0</v>
      </c>
      <c r="L82" s="1">
        <v>13447</v>
      </c>
      <c r="M82" s="1">
        <v>0</v>
      </c>
      <c r="N82" s="1">
        <v>0</v>
      </c>
      <c r="O82" s="1">
        <v>38</v>
      </c>
      <c r="P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1">
        <v>0</v>
      </c>
      <c r="AB82" s="1">
        <v>0</v>
      </c>
      <c r="AC82" s="1">
        <v>0</v>
      </c>
      <c r="AD82" s="1">
        <v>0</v>
      </c>
      <c r="AE82" s="1">
        <v>0</v>
      </c>
      <c r="AF82" s="1">
        <v>0</v>
      </c>
      <c r="AG82" s="1">
        <v>0</v>
      </c>
      <c r="AH82" s="1">
        <v>0</v>
      </c>
      <c r="AI82" s="1">
        <v>0</v>
      </c>
      <c r="AJ82" s="1">
        <v>0</v>
      </c>
      <c r="AK82" s="1">
        <v>0</v>
      </c>
      <c r="AL82" s="1">
        <v>0</v>
      </c>
      <c r="AM82" s="1">
        <v>0</v>
      </c>
      <c r="AN82" s="1">
        <v>0</v>
      </c>
    </row>
    <row r="83" spans="1:40" x14ac:dyDescent="0.3">
      <c r="A83" s="10">
        <v>45829</v>
      </c>
      <c r="B83" s="1">
        <v>0</v>
      </c>
      <c r="C83" s="1">
        <v>0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0</v>
      </c>
      <c r="J83" s="1"/>
      <c r="K83" s="1">
        <v>0</v>
      </c>
      <c r="L83" s="1">
        <v>15875</v>
      </c>
      <c r="M83" s="1">
        <v>0</v>
      </c>
      <c r="N83" s="1">
        <v>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1">
        <v>0</v>
      </c>
      <c r="AB83" s="1">
        <v>0</v>
      </c>
      <c r="AC83" s="1">
        <v>0</v>
      </c>
      <c r="AD83" s="1">
        <v>0</v>
      </c>
      <c r="AE83" s="1">
        <v>0</v>
      </c>
      <c r="AF83" s="1">
        <v>0</v>
      </c>
      <c r="AG83" s="1">
        <v>0</v>
      </c>
      <c r="AH83" s="1">
        <v>0</v>
      </c>
      <c r="AI83" s="1">
        <v>0</v>
      </c>
      <c r="AJ83" s="1">
        <v>0</v>
      </c>
      <c r="AK83" s="1">
        <v>0</v>
      </c>
      <c r="AL83" s="1">
        <v>0</v>
      </c>
      <c r="AM83" s="1">
        <v>0</v>
      </c>
      <c r="AN83" s="1">
        <v>0</v>
      </c>
    </row>
    <row r="84" spans="1:40" x14ac:dyDescent="0.3">
      <c r="A84" s="10">
        <v>45830</v>
      </c>
      <c r="B84" s="1">
        <v>4</v>
      </c>
      <c r="C84" s="1">
        <v>0</v>
      </c>
      <c r="D84" s="1">
        <v>0</v>
      </c>
      <c r="E84" s="1">
        <v>0</v>
      </c>
      <c r="F84" s="1">
        <v>0</v>
      </c>
      <c r="G84" s="1">
        <v>0</v>
      </c>
      <c r="H84" s="1">
        <v>2</v>
      </c>
      <c r="I84" s="1">
        <v>0</v>
      </c>
      <c r="J84" s="1"/>
      <c r="K84" s="1">
        <v>0</v>
      </c>
      <c r="L84" s="1">
        <v>17622</v>
      </c>
      <c r="M84" s="1">
        <v>0</v>
      </c>
      <c r="N84" s="1">
        <v>0</v>
      </c>
      <c r="O84" s="1">
        <v>0</v>
      </c>
      <c r="P84" s="1">
        <v>0</v>
      </c>
      <c r="Q84" s="1">
        <v>0</v>
      </c>
      <c r="R84" s="1">
        <v>0</v>
      </c>
      <c r="S84" s="1">
        <v>4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1">
        <v>0</v>
      </c>
      <c r="AB84" s="1">
        <v>0</v>
      </c>
      <c r="AC84" s="1">
        <v>0</v>
      </c>
      <c r="AD84" s="1">
        <v>0</v>
      </c>
      <c r="AE84" s="1">
        <v>0</v>
      </c>
      <c r="AF84" s="1">
        <v>0</v>
      </c>
      <c r="AG84" s="1">
        <v>0</v>
      </c>
      <c r="AH84" s="1">
        <v>0</v>
      </c>
      <c r="AI84" s="1">
        <v>0</v>
      </c>
      <c r="AJ84" s="1">
        <v>2</v>
      </c>
      <c r="AK84" s="1">
        <v>0</v>
      </c>
      <c r="AL84" s="1">
        <v>0</v>
      </c>
      <c r="AM84" s="1">
        <v>0</v>
      </c>
      <c r="AN84" s="1">
        <v>0</v>
      </c>
    </row>
    <row r="85" spans="1:40" x14ac:dyDescent="0.3">
      <c r="A85" s="10">
        <v>45831</v>
      </c>
      <c r="B85" s="1">
        <v>0</v>
      </c>
      <c r="C85" s="1">
        <v>0</v>
      </c>
      <c r="D85" s="1">
        <v>0</v>
      </c>
      <c r="E85" s="1">
        <v>0</v>
      </c>
      <c r="F85" s="1">
        <v>0</v>
      </c>
      <c r="G85" s="1">
        <v>0</v>
      </c>
      <c r="H85" s="1">
        <v>5</v>
      </c>
      <c r="I85" s="1">
        <v>0</v>
      </c>
      <c r="J85" s="1"/>
      <c r="K85" s="1">
        <v>0</v>
      </c>
      <c r="L85" s="1">
        <v>11813</v>
      </c>
      <c r="M85" s="1">
        <v>0</v>
      </c>
      <c r="N85" s="1">
        <v>0</v>
      </c>
      <c r="O85" s="1">
        <v>429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">
        <v>0</v>
      </c>
      <c r="AE85" s="1">
        <v>0</v>
      </c>
      <c r="AF85" s="1">
        <v>0</v>
      </c>
      <c r="AG85" s="1">
        <v>0</v>
      </c>
      <c r="AH85" s="1">
        <v>0</v>
      </c>
      <c r="AI85" s="1">
        <v>0</v>
      </c>
      <c r="AJ85" s="1">
        <v>5</v>
      </c>
      <c r="AK85" s="1">
        <v>0</v>
      </c>
      <c r="AL85" s="1">
        <v>0</v>
      </c>
      <c r="AM85" s="1">
        <v>0</v>
      </c>
      <c r="AN85" s="1">
        <v>0</v>
      </c>
    </row>
    <row r="86" spans="1:40" x14ac:dyDescent="0.3">
      <c r="A86" s="10">
        <v>45832</v>
      </c>
      <c r="B86" s="1">
        <v>0</v>
      </c>
      <c r="C86" s="1">
        <v>0</v>
      </c>
      <c r="D86" s="1">
        <v>0</v>
      </c>
      <c r="E86" s="1">
        <v>0</v>
      </c>
      <c r="F86" s="1">
        <v>0</v>
      </c>
      <c r="G86" s="1">
        <v>0</v>
      </c>
      <c r="H86" s="1">
        <v>4</v>
      </c>
      <c r="I86" s="1">
        <v>0</v>
      </c>
      <c r="J86" s="1"/>
      <c r="K86" s="1">
        <v>0</v>
      </c>
      <c r="L86" s="1">
        <v>14822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">
        <v>0</v>
      </c>
      <c r="AC86" s="1">
        <v>0</v>
      </c>
      <c r="AD86" s="1">
        <v>0</v>
      </c>
      <c r="AE86" s="1">
        <v>0</v>
      </c>
      <c r="AF86" s="1">
        <v>0</v>
      </c>
      <c r="AG86" s="1">
        <v>0</v>
      </c>
      <c r="AH86" s="1">
        <v>0</v>
      </c>
      <c r="AI86" s="1">
        <v>0</v>
      </c>
      <c r="AJ86" s="1">
        <v>4</v>
      </c>
      <c r="AK86" s="1">
        <v>0</v>
      </c>
      <c r="AL86" s="1">
        <v>0</v>
      </c>
      <c r="AM86" s="1">
        <v>0</v>
      </c>
      <c r="AN86" s="1">
        <v>0</v>
      </c>
    </row>
    <row r="87" spans="1:40" x14ac:dyDescent="0.3">
      <c r="A87" s="10">
        <v>45833</v>
      </c>
      <c r="B87" s="1">
        <v>0</v>
      </c>
      <c r="C87" s="1">
        <v>0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0</v>
      </c>
      <c r="J87" s="1"/>
      <c r="K87" s="1">
        <v>0</v>
      </c>
      <c r="L87" s="1">
        <v>9536</v>
      </c>
      <c r="M87" s="1">
        <v>0</v>
      </c>
      <c r="N87" s="1">
        <v>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">
        <v>0</v>
      </c>
      <c r="AE87" s="1">
        <v>0</v>
      </c>
      <c r="AF87" s="1">
        <v>0</v>
      </c>
      <c r="AG87" s="1">
        <v>0</v>
      </c>
      <c r="AH87" s="1">
        <v>0</v>
      </c>
      <c r="AI87" s="1">
        <v>0</v>
      </c>
      <c r="AJ87" s="1">
        <v>0</v>
      </c>
      <c r="AK87" s="1">
        <v>0</v>
      </c>
      <c r="AL87" s="1">
        <v>0</v>
      </c>
      <c r="AM87" s="1">
        <v>0</v>
      </c>
      <c r="AN87" s="1">
        <v>0</v>
      </c>
    </row>
    <row r="88" spans="1:40" x14ac:dyDescent="0.3">
      <c r="A88" s="10">
        <v>45834</v>
      </c>
      <c r="B88" s="1">
        <v>0</v>
      </c>
      <c r="C88" s="1">
        <v>0</v>
      </c>
      <c r="D88" s="1">
        <v>0</v>
      </c>
      <c r="E88" s="1">
        <v>0</v>
      </c>
      <c r="F88" s="1">
        <v>0</v>
      </c>
      <c r="G88" s="1">
        <v>0</v>
      </c>
      <c r="H88" s="1">
        <v>3</v>
      </c>
      <c r="I88" s="1">
        <v>0</v>
      </c>
      <c r="J88" s="1"/>
      <c r="K88" s="1">
        <v>0</v>
      </c>
      <c r="L88" s="1">
        <v>9264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">
        <v>0</v>
      </c>
      <c r="AE88" s="1">
        <v>0</v>
      </c>
      <c r="AF88" s="1">
        <v>0</v>
      </c>
      <c r="AG88" s="1">
        <v>0</v>
      </c>
      <c r="AH88" s="1">
        <v>0</v>
      </c>
      <c r="AI88" s="1">
        <v>0</v>
      </c>
      <c r="AJ88" s="1">
        <v>3</v>
      </c>
      <c r="AK88" s="1">
        <v>0</v>
      </c>
      <c r="AL88" s="1">
        <v>0</v>
      </c>
      <c r="AM88" s="1">
        <v>0</v>
      </c>
      <c r="AN88" s="1">
        <v>0</v>
      </c>
    </row>
    <row r="89" spans="1:40" x14ac:dyDescent="0.3">
      <c r="A89" s="10">
        <v>45835</v>
      </c>
      <c r="B89" s="1">
        <v>0</v>
      </c>
      <c r="C89" s="1">
        <v>0</v>
      </c>
      <c r="D89" s="1">
        <v>0</v>
      </c>
      <c r="E89" s="1">
        <v>0</v>
      </c>
      <c r="F89" s="1">
        <v>0</v>
      </c>
      <c r="G89" s="1">
        <v>0</v>
      </c>
      <c r="H89" s="1">
        <v>2</v>
      </c>
      <c r="I89" s="1">
        <v>0</v>
      </c>
      <c r="J89" s="1"/>
      <c r="K89" s="1">
        <v>0</v>
      </c>
      <c r="L89" s="1">
        <v>8357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">
        <v>0</v>
      </c>
      <c r="AE89" s="1">
        <v>0</v>
      </c>
      <c r="AF89" s="1">
        <v>0</v>
      </c>
      <c r="AG89" s="1">
        <v>0</v>
      </c>
      <c r="AH89" s="1">
        <v>0</v>
      </c>
      <c r="AI89" s="1">
        <v>0</v>
      </c>
      <c r="AJ89" s="1">
        <v>2</v>
      </c>
      <c r="AK89" s="1">
        <v>0</v>
      </c>
      <c r="AL89" s="1">
        <v>0</v>
      </c>
      <c r="AM89" s="1">
        <v>0</v>
      </c>
      <c r="AN89" s="1">
        <v>0</v>
      </c>
    </row>
    <row r="90" spans="1:40" x14ac:dyDescent="0.3">
      <c r="A90" s="10">
        <v>45836</v>
      </c>
      <c r="B90" s="1">
        <v>0</v>
      </c>
      <c r="C90" s="1">
        <v>0</v>
      </c>
      <c r="D90" s="1">
        <v>0</v>
      </c>
      <c r="E90" s="1">
        <v>0</v>
      </c>
      <c r="F90" s="1">
        <v>0</v>
      </c>
      <c r="G90" s="1">
        <v>0</v>
      </c>
      <c r="H90" s="1">
        <v>2</v>
      </c>
      <c r="I90" s="1">
        <v>0</v>
      </c>
      <c r="J90" s="1"/>
      <c r="K90" s="1">
        <v>0</v>
      </c>
      <c r="L90" s="1">
        <v>5571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0</v>
      </c>
      <c r="AD90" s="1">
        <v>0</v>
      </c>
      <c r="AE90" s="1">
        <v>0</v>
      </c>
      <c r="AF90" s="1">
        <v>0</v>
      </c>
      <c r="AG90" s="1">
        <v>0</v>
      </c>
      <c r="AH90" s="1">
        <v>0</v>
      </c>
      <c r="AI90" s="1">
        <v>0</v>
      </c>
      <c r="AJ90" s="1">
        <v>0</v>
      </c>
      <c r="AK90" s="1">
        <v>2</v>
      </c>
      <c r="AL90" s="1">
        <v>0</v>
      </c>
      <c r="AM90" s="1">
        <v>0</v>
      </c>
      <c r="AN90" s="1">
        <v>0</v>
      </c>
    </row>
    <row r="91" spans="1:40" x14ac:dyDescent="0.3">
      <c r="A91" s="10">
        <v>45837</v>
      </c>
      <c r="B91" s="1">
        <v>0</v>
      </c>
      <c r="C91" s="1">
        <v>0</v>
      </c>
      <c r="D91" s="1">
        <v>0</v>
      </c>
      <c r="E91" s="1">
        <v>0</v>
      </c>
      <c r="F91" s="1">
        <v>0</v>
      </c>
      <c r="G91" s="1">
        <v>0</v>
      </c>
      <c r="H91" s="1">
        <v>3</v>
      </c>
      <c r="I91" s="1">
        <v>0</v>
      </c>
      <c r="J91" s="1"/>
      <c r="K91" s="1">
        <v>0</v>
      </c>
      <c r="L91" s="1">
        <v>10530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0</v>
      </c>
      <c r="AC91" s="1">
        <v>0</v>
      </c>
      <c r="AD91" s="1">
        <v>0</v>
      </c>
      <c r="AE91" s="1">
        <v>0</v>
      </c>
      <c r="AF91" s="1">
        <v>0</v>
      </c>
      <c r="AG91" s="1">
        <v>0</v>
      </c>
      <c r="AH91" s="1">
        <v>0</v>
      </c>
      <c r="AI91" s="1">
        <v>0</v>
      </c>
      <c r="AJ91" s="1">
        <v>3</v>
      </c>
      <c r="AK91" s="1">
        <v>0</v>
      </c>
      <c r="AL91" s="1">
        <v>0</v>
      </c>
      <c r="AM91" s="1">
        <v>0</v>
      </c>
      <c r="AN91" s="1">
        <v>0</v>
      </c>
    </row>
    <row r="92" spans="1:40" x14ac:dyDescent="0.3">
      <c r="A92" s="10">
        <v>45838</v>
      </c>
      <c r="B92" s="1">
        <v>0</v>
      </c>
      <c r="C92" s="1">
        <v>0</v>
      </c>
      <c r="D92" s="1">
        <v>0</v>
      </c>
      <c r="E92" s="1">
        <v>0</v>
      </c>
      <c r="F92" s="1">
        <v>0</v>
      </c>
      <c r="G92" s="1">
        <v>0</v>
      </c>
      <c r="H92" s="1">
        <v>9</v>
      </c>
      <c r="I92" s="1">
        <v>0</v>
      </c>
      <c r="J92" s="1"/>
      <c r="K92" s="1">
        <v>0</v>
      </c>
      <c r="L92" s="1">
        <v>11814</v>
      </c>
      <c r="M92" s="1">
        <v>0</v>
      </c>
      <c r="N92" s="1">
        <v>0</v>
      </c>
      <c r="O92" s="1">
        <v>483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">
        <v>0</v>
      </c>
      <c r="AD92" s="1">
        <v>0</v>
      </c>
      <c r="AE92" s="1">
        <v>0</v>
      </c>
      <c r="AF92" s="1">
        <v>0</v>
      </c>
      <c r="AG92" s="1">
        <v>0</v>
      </c>
      <c r="AH92" s="1">
        <v>0</v>
      </c>
      <c r="AI92" s="1">
        <v>0</v>
      </c>
      <c r="AJ92" s="1">
        <v>9</v>
      </c>
      <c r="AK92" s="1">
        <v>0</v>
      </c>
      <c r="AL92" s="1">
        <v>0</v>
      </c>
      <c r="AM92" s="1">
        <v>0</v>
      </c>
      <c r="AN92" s="1">
        <v>0</v>
      </c>
    </row>
    <row r="93" spans="1:40" x14ac:dyDescent="0.3">
      <c r="A93" s="10">
        <v>45839</v>
      </c>
      <c r="B93" s="1">
        <v>0</v>
      </c>
      <c r="C93" s="1">
        <v>0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/>
      <c r="K93" s="1">
        <v>0</v>
      </c>
      <c r="L93" s="1">
        <v>10920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1">
        <v>0</v>
      </c>
      <c r="AB93" s="1">
        <v>0</v>
      </c>
      <c r="AC93" s="1">
        <v>0</v>
      </c>
      <c r="AD93" s="1">
        <v>0</v>
      </c>
      <c r="AE93" s="1">
        <v>0</v>
      </c>
      <c r="AF93" s="1">
        <v>0</v>
      </c>
      <c r="AG93" s="1">
        <v>0</v>
      </c>
      <c r="AH93" s="1">
        <v>0</v>
      </c>
      <c r="AI93" s="1">
        <v>0</v>
      </c>
      <c r="AJ93" s="1">
        <v>0</v>
      </c>
      <c r="AK93" s="1">
        <v>0</v>
      </c>
      <c r="AL93" s="1">
        <v>0</v>
      </c>
      <c r="AM93" s="1">
        <v>0</v>
      </c>
      <c r="AN93" s="1">
        <v>0</v>
      </c>
    </row>
    <row r="94" spans="1:40" x14ac:dyDescent="0.3">
      <c r="A94" s="10">
        <v>45840</v>
      </c>
      <c r="B94" s="1">
        <v>0</v>
      </c>
      <c r="C94" s="1">
        <v>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/>
      <c r="K94" s="1">
        <v>0</v>
      </c>
      <c r="L94" s="1">
        <v>6422.16</v>
      </c>
      <c r="M94" s="1">
        <v>0</v>
      </c>
      <c r="N94" s="1">
        <v>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  <c r="AM94" s="1">
        <v>0</v>
      </c>
      <c r="AN94" s="1">
        <v>0</v>
      </c>
    </row>
    <row r="95" spans="1:40" x14ac:dyDescent="0.3">
      <c r="A95" s="10">
        <v>45841</v>
      </c>
      <c r="B95" s="1">
        <v>0</v>
      </c>
      <c r="C95" s="1">
        <v>0</v>
      </c>
      <c r="D95" s="1">
        <v>0</v>
      </c>
      <c r="E95" s="1">
        <v>0</v>
      </c>
      <c r="F95" s="1">
        <v>0</v>
      </c>
      <c r="G95" s="1">
        <v>0</v>
      </c>
      <c r="H95" s="1">
        <v>4</v>
      </c>
      <c r="I95" s="1">
        <v>0</v>
      </c>
      <c r="J95" s="1"/>
      <c r="K95" s="1">
        <v>0</v>
      </c>
      <c r="L95" s="1">
        <v>11570</v>
      </c>
      <c r="M95" s="1">
        <v>0</v>
      </c>
      <c r="N95" s="1">
        <v>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1">
        <v>0</v>
      </c>
      <c r="AB95" s="1">
        <v>0</v>
      </c>
      <c r="AC95" s="1">
        <v>0</v>
      </c>
      <c r="AD95" s="1">
        <v>0</v>
      </c>
      <c r="AE95" s="1">
        <v>0</v>
      </c>
      <c r="AF95" s="1">
        <v>0</v>
      </c>
      <c r="AG95" s="1">
        <v>0</v>
      </c>
      <c r="AH95" s="1">
        <v>0</v>
      </c>
      <c r="AI95" s="1">
        <v>0</v>
      </c>
      <c r="AJ95" s="1">
        <v>0</v>
      </c>
      <c r="AK95" s="1">
        <v>4</v>
      </c>
      <c r="AL95" s="1">
        <v>0</v>
      </c>
      <c r="AM95" s="1">
        <v>0</v>
      </c>
      <c r="AN95" s="1">
        <v>0</v>
      </c>
    </row>
    <row r="96" spans="1:40" x14ac:dyDescent="0.3">
      <c r="A96" s="10">
        <v>45842</v>
      </c>
      <c r="B96" s="1">
        <v>0</v>
      </c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/>
      <c r="K96" s="1">
        <v>0</v>
      </c>
      <c r="L96" s="1">
        <v>11360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1">
        <v>0</v>
      </c>
      <c r="AB96" s="1">
        <v>0</v>
      </c>
      <c r="AC96" s="1">
        <v>0</v>
      </c>
      <c r="AD96" s="1">
        <v>0</v>
      </c>
      <c r="AE96" s="1">
        <v>0</v>
      </c>
      <c r="AF96" s="1">
        <v>0</v>
      </c>
      <c r="AG96" s="1">
        <v>0</v>
      </c>
      <c r="AH96" s="1">
        <v>0</v>
      </c>
      <c r="AI96" s="1">
        <v>0</v>
      </c>
      <c r="AJ96" s="1">
        <v>0</v>
      </c>
      <c r="AK96" s="1">
        <v>0</v>
      </c>
      <c r="AL96" s="1">
        <v>0</v>
      </c>
      <c r="AM96" s="1">
        <v>0</v>
      </c>
      <c r="AN96" s="1">
        <v>0</v>
      </c>
    </row>
    <row r="97" spans="1:40" x14ac:dyDescent="0.3">
      <c r="A97" s="10">
        <v>45843</v>
      </c>
      <c r="B97" s="1">
        <v>0</v>
      </c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6</v>
      </c>
      <c r="I97" s="1">
        <v>0</v>
      </c>
      <c r="J97" s="1"/>
      <c r="K97" s="1">
        <v>0</v>
      </c>
      <c r="L97" s="1">
        <v>6683</v>
      </c>
      <c r="M97" s="1">
        <v>0</v>
      </c>
      <c r="N97" s="1">
        <v>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  <c r="AC97" s="1">
        <v>0</v>
      </c>
      <c r="AD97" s="1">
        <v>0</v>
      </c>
      <c r="AE97" s="1">
        <v>0</v>
      </c>
      <c r="AF97" s="1">
        <v>0</v>
      </c>
      <c r="AG97" s="1">
        <v>0</v>
      </c>
      <c r="AH97" s="1">
        <v>0</v>
      </c>
      <c r="AI97" s="1">
        <v>0</v>
      </c>
      <c r="AJ97" s="1">
        <v>6</v>
      </c>
      <c r="AK97" s="1">
        <v>0</v>
      </c>
      <c r="AL97" s="1">
        <v>0</v>
      </c>
      <c r="AM97" s="1">
        <v>0</v>
      </c>
      <c r="AN97" s="1">
        <v>0</v>
      </c>
    </row>
    <row r="98" spans="1:40" x14ac:dyDescent="0.3">
      <c r="A98" s="10">
        <v>45844</v>
      </c>
      <c r="B98" s="1">
        <v>0</v>
      </c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4</v>
      </c>
      <c r="I98" s="1">
        <v>0</v>
      </c>
      <c r="J98" s="1"/>
      <c r="K98" s="1">
        <v>0</v>
      </c>
      <c r="L98" s="1">
        <v>3728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0</v>
      </c>
      <c r="AB98" s="1">
        <v>0</v>
      </c>
      <c r="AC98" s="1">
        <v>0</v>
      </c>
      <c r="AD98" s="1">
        <v>0</v>
      </c>
      <c r="AE98" s="1">
        <v>0</v>
      </c>
      <c r="AF98" s="1">
        <v>0</v>
      </c>
      <c r="AG98" s="1">
        <v>0</v>
      </c>
      <c r="AH98" s="1">
        <v>0</v>
      </c>
      <c r="AI98" s="1">
        <v>0</v>
      </c>
      <c r="AJ98" s="1">
        <v>2</v>
      </c>
      <c r="AK98" s="1">
        <v>2</v>
      </c>
      <c r="AL98" s="1">
        <v>0</v>
      </c>
      <c r="AM98" s="1">
        <v>0</v>
      </c>
      <c r="AN98" s="1">
        <v>0</v>
      </c>
    </row>
    <row r="99" spans="1:40" x14ac:dyDescent="0.3">
      <c r="A99" s="10">
        <v>45845</v>
      </c>
      <c r="B99" s="1">
        <v>0</v>
      </c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6</v>
      </c>
      <c r="I99" s="1">
        <v>0</v>
      </c>
      <c r="J99" s="1"/>
      <c r="K99" s="1">
        <v>0</v>
      </c>
      <c r="L99" s="1">
        <v>3632</v>
      </c>
      <c r="M99" s="1">
        <v>0</v>
      </c>
      <c r="N99" s="1">
        <v>0</v>
      </c>
      <c r="O99" s="1">
        <v>813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1">
        <v>0</v>
      </c>
      <c r="AC99" s="1">
        <v>0</v>
      </c>
      <c r="AD99" s="1">
        <v>0</v>
      </c>
      <c r="AE99" s="1">
        <v>0</v>
      </c>
      <c r="AF99" s="1">
        <v>0</v>
      </c>
      <c r="AG99" s="1">
        <v>0</v>
      </c>
      <c r="AH99" s="1">
        <v>0</v>
      </c>
      <c r="AI99" s="1">
        <v>0</v>
      </c>
      <c r="AJ99" s="1">
        <v>6</v>
      </c>
      <c r="AK99" s="1">
        <v>0</v>
      </c>
      <c r="AL99" s="1">
        <v>0</v>
      </c>
      <c r="AM99" s="1">
        <v>0</v>
      </c>
      <c r="AN99" s="1">
        <v>0</v>
      </c>
    </row>
    <row r="100" spans="1:40" x14ac:dyDescent="0.3">
      <c r="A100" s="10">
        <v>45846</v>
      </c>
      <c r="B100" s="1">
        <v>2</v>
      </c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6</v>
      </c>
      <c r="I100" s="1">
        <v>0</v>
      </c>
      <c r="J100" s="1"/>
      <c r="K100" s="1">
        <v>0</v>
      </c>
      <c r="L100" s="1">
        <v>5301</v>
      </c>
      <c r="M100" s="1">
        <v>0</v>
      </c>
      <c r="N100" s="1">
        <v>0</v>
      </c>
      <c r="O100" s="1">
        <v>0</v>
      </c>
      <c r="P100" s="1">
        <v>0</v>
      </c>
      <c r="Q100" s="1">
        <v>0</v>
      </c>
      <c r="R100" s="1">
        <v>2</v>
      </c>
      <c r="S100" s="1">
        <v>0</v>
      </c>
      <c r="T100" s="1">
        <v>0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1">
        <v>0</v>
      </c>
      <c r="AB100" s="1">
        <v>0</v>
      </c>
      <c r="AC100" s="1">
        <v>0</v>
      </c>
      <c r="AD100" s="1">
        <v>0</v>
      </c>
      <c r="AE100" s="1">
        <v>0</v>
      </c>
      <c r="AF100" s="1">
        <v>0</v>
      </c>
      <c r="AG100" s="1">
        <v>0</v>
      </c>
      <c r="AH100" s="1">
        <v>0</v>
      </c>
      <c r="AI100" s="1">
        <v>0</v>
      </c>
      <c r="AJ100" s="1">
        <v>6</v>
      </c>
      <c r="AK100" s="1">
        <v>0</v>
      </c>
      <c r="AL100" s="1">
        <v>0</v>
      </c>
      <c r="AM100" s="1">
        <v>0</v>
      </c>
      <c r="AN100" s="1">
        <v>0</v>
      </c>
    </row>
    <row r="101" spans="1:40" x14ac:dyDescent="0.3">
      <c r="A101" s="10">
        <v>45847</v>
      </c>
      <c r="B101" s="1">
        <v>0</v>
      </c>
      <c r="C101" s="1">
        <v>0</v>
      </c>
      <c r="D101" s="1">
        <v>0</v>
      </c>
      <c r="E101" s="1">
        <v>0</v>
      </c>
      <c r="F101" s="1">
        <v>0</v>
      </c>
      <c r="G101" s="1">
        <v>0</v>
      </c>
      <c r="H101" s="1">
        <v>21</v>
      </c>
      <c r="I101" s="1">
        <v>0</v>
      </c>
      <c r="J101" s="1"/>
      <c r="K101" s="1">
        <v>0</v>
      </c>
      <c r="L101" s="1">
        <v>9796</v>
      </c>
      <c r="M101" s="1">
        <v>0</v>
      </c>
      <c r="N101" s="1">
        <v>0</v>
      </c>
      <c r="O101" s="1">
        <v>0</v>
      </c>
      <c r="P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0</v>
      </c>
      <c r="V101" s="1">
        <v>0</v>
      </c>
      <c r="W101" s="1">
        <v>0</v>
      </c>
      <c r="X101" s="1">
        <v>0</v>
      </c>
      <c r="Y101" s="1">
        <v>0</v>
      </c>
      <c r="Z101" s="1">
        <v>0</v>
      </c>
      <c r="AA101" s="1">
        <v>0</v>
      </c>
      <c r="AB101" s="1">
        <v>0</v>
      </c>
      <c r="AC101" s="1">
        <v>0</v>
      </c>
      <c r="AD101" s="1">
        <v>0</v>
      </c>
      <c r="AE101" s="1">
        <v>0</v>
      </c>
      <c r="AF101" s="1">
        <v>0</v>
      </c>
      <c r="AG101" s="1">
        <v>0</v>
      </c>
      <c r="AH101" s="1">
        <v>0</v>
      </c>
      <c r="AI101" s="1">
        <v>0</v>
      </c>
      <c r="AJ101" s="1">
        <v>19</v>
      </c>
      <c r="AK101" s="1">
        <v>2</v>
      </c>
      <c r="AL101" s="1">
        <v>0</v>
      </c>
      <c r="AM101" s="1">
        <v>0</v>
      </c>
      <c r="AN101" s="1">
        <v>0</v>
      </c>
    </row>
    <row r="102" spans="1:40" x14ac:dyDescent="0.3">
      <c r="A102" s="10">
        <v>45848</v>
      </c>
      <c r="B102" s="1">
        <v>0</v>
      </c>
      <c r="C102" s="1">
        <v>0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/>
      <c r="K102" s="1">
        <v>0</v>
      </c>
      <c r="L102" s="1">
        <v>14189</v>
      </c>
      <c r="M102" s="1">
        <v>0</v>
      </c>
      <c r="N102" s="1">
        <v>0</v>
      </c>
      <c r="O102" s="1">
        <v>0</v>
      </c>
      <c r="P102" s="1">
        <v>0</v>
      </c>
      <c r="Q102" s="1">
        <v>0</v>
      </c>
      <c r="R102" s="1">
        <v>0</v>
      </c>
      <c r="S102" s="1">
        <v>0</v>
      </c>
      <c r="T102" s="1">
        <v>0</v>
      </c>
      <c r="U102" s="1">
        <v>0</v>
      </c>
      <c r="V102" s="1">
        <v>0</v>
      </c>
      <c r="W102" s="1">
        <v>0</v>
      </c>
      <c r="X102" s="1">
        <v>0</v>
      </c>
      <c r="Y102" s="1">
        <v>0</v>
      </c>
      <c r="Z102" s="1">
        <v>0</v>
      </c>
      <c r="AA102" s="1">
        <v>0</v>
      </c>
      <c r="AB102" s="1">
        <v>0</v>
      </c>
      <c r="AC102" s="1">
        <v>0</v>
      </c>
      <c r="AD102" s="1">
        <v>0</v>
      </c>
      <c r="AE102" s="1">
        <v>0</v>
      </c>
      <c r="AF102" s="1">
        <v>0</v>
      </c>
      <c r="AG102" s="1">
        <v>0</v>
      </c>
      <c r="AH102" s="1">
        <v>0</v>
      </c>
      <c r="AI102" s="1">
        <v>0</v>
      </c>
      <c r="AJ102" s="1">
        <v>0</v>
      </c>
      <c r="AK102" s="1">
        <v>0</v>
      </c>
      <c r="AL102" s="1">
        <v>0</v>
      </c>
      <c r="AM102" s="1">
        <v>0</v>
      </c>
      <c r="AN102" s="1">
        <v>0</v>
      </c>
    </row>
    <row r="103" spans="1:40" x14ac:dyDescent="0.3">
      <c r="A103" s="10">
        <v>45849</v>
      </c>
      <c r="B103" s="1">
        <v>0</v>
      </c>
      <c r="C103" s="1">
        <v>0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0</v>
      </c>
      <c r="J103" s="1"/>
      <c r="K103" s="1">
        <v>0</v>
      </c>
      <c r="L103" s="1">
        <v>16276</v>
      </c>
      <c r="M103" s="1">
        <v>0</v>
      </c>
      <c r="N103" s="1">
        <v>0</v>
      </c>
      <c r="O103" s="1">
        <v>0</v>
      </c>
      <c r="P103" s="1">
        <v>0</v>
      </c>
      <c r="Q103" s="1">
        <v>0</v>
      </c>
      <c r="R103" s="1">
        <v>0</v>
      </c>
      <c r="S103" s="1">
        <v>0</v>
      </c>
      <c r="T103" s="1">
        <v>0</v>
      </c>
      <c r="U103" s="1">
        <v>0</v>
      </c>
      <c r="V103" s="1">
        <v>0</v>
      </c>
      <c r="W103" s="1">
        <v>0</v>
      </c>
      <c r="X103" s="1">
        <v>0</v>
      </c>
      <c r="Y103" s="1">
        <v>0</v>
      </c>
      <c r="Z103" s="1">
        <v>0</v>
      </c>
      <c r="AA103" s="1">
        <v>0</v>
      </c>
      <c r="AB103" s="1">
        <v>0</v>
      </c>
      <c r="AC103" s="1">
        <v>0</v>
      </c>
      <c r="AD103" s="1">
        <v>0</v>
      </c>
      <c r="AE103" s="1">
        <v>0</v>
      </c>
      <c r="AF103" s="1">
        <v>0</v>
      </c>
      <c r="AG103" s="1">
        <v>0</v>
      </c>
      <c r="AH103" s="1">
        <v>0</v>
      </c>
      <c r="AI103" s="1">
        <v>0</v>
      </c>
      <c r="AJ103" s="1">
        <v>0</v>
      </c>
      <c r="AK103" s="1">
        <v>0</v>
      </c>
      <c r="AL103" s="1">
        <v>0</v>
      </c>
      <c r="AM103" s="1">
        <v>0</v>
      </c>
      <c r="AN103" s="1">
        <v>0</v>
      </c>
    </row>
    <row r="104" spans="1:40" x14ac:dyDescent="0.3">
      <c r="A104" s="10">
        <v>45850</v>
      </c>
      <c r="B104" s="1">
        <v>0</v>
      </c>
      <c r="C104" s="1">
        <v>0</v>
      </c>
      <c r="D104" s="1">
        <v>0</v>
      </c>
      <c r="E104" s="1">
        <v>0</v>
      </c>
      <c r="F104" s="1">
        <v>0</v>
      </c>
      <c r="G104" s="1">
        <v>0</v>
      </c>
      <c r="H104" s="1">
        <v>8</v>
      </c>
      <c r="I104" s="1">
        <v>0</v>
      </c>
      <c r="J104" s="1"/>
      <c r="K104" s="1">
        <v>0</v>
      </c>
      <c r="L104" s="1">
        <v>10415</v>
      </c>
      <c r="M104" s="1">
        <v>0</v>
      </c>
      <c r="N104" s="1">
        <v>0</v>
      </c>
      <c r="O104" s="1">
        <v>0</v>
      </c>
      <c r="P104" s="1">
        <v>0</v>
      </c>
      <c r="Q104" s="1">
        <v>0</v>
      </c>
      <c r="R104" s="1">
        <v>0</v>
      </c>
      <c r="S104" s="1">
        <v>0</v>
      </c>
      <c r="T104" s="1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0</v>
      </c>
      <c r="AA104" s="1">
        <v>0</v>
      </c>
      <c r="AB104" s="1">
        <v>0</v>
      </c>
      <c r="AC104" s="1">
        <v>0</v>
      </c>
      <c r="AD104" s="1">
        <v>0</v>
      </c>
      <c r="AE104" s="1">
        <v>0</v>
      </c>
      <c r="AF104" s="1">
        <v>0</v>
      </c>
      <c r="AG104" s="1">
        <v>0</v>
      </c>
      <c r="AH104" s="1">
        <v>0</v>
      </c>
      <c r="AI104" s="1">
        <v>0</v>
      </c>
      <c r="AJ104" s="1">
        <v>4</v>
      </c>
      <c r="AK104" s="1">
        <v>4</v>
      </c>
      <c r="AL104" s="1">
        <v>0</v>
      </c>
      <c r="AM104" s="1">
        <v>0</v>
      </c>
      <c r="AN104" s="1">
        <v>0</v>
      </c>
    </row>
    <row r="105" spans="1:40" x14ac:dyDescent="0.3">
      <c r="A105" s="10">
        <v>45851</v>
      </c>
      <c r="B105" s="1">
        <v>4</v>
      </c>
      <c r="C105" s="1">
        <v>0</v>
      </c>
      <c r="D105" s="1">
        <v>0</v>
      </c>
      <c r="E105" s="1">
        <v>0</v>
      </c>
      <c r="F105" s="1">
        <v>0</v>
      </c>
      <c r="G105" s="1">
        <v>0</v>
      </c>
      <c r="H105" s="1">
        <v>18</v>
      </c>
      <c r="I105" s="1">
        <v>0</v>
      </c>
      <c r="J105" s="1"/>
      <c r="K105" s="1">
        <v>0</v>
      </c>
      <c r="L105" s="1">
        <v>5663</v>
      </c>
      <c r="M105" s="1">
        <v>0</v>
      </c>
      <c r="N105" s="1">
        <v>0</v>
      </c>
      <c r="O105" s="1">
        <v>0</v>
      </c>
      <c r="P105" s="1">
        <v>0</v>
      </c>
      <c r="Q105" s="1">
        <v>0</v>
      </c>
      <c r="R105" s="1">
        <v>4</v>
      </c>
      <c r="S105" s="1">
        <v>0</v>
      </c>
      <c r="T105" s="1">
        <v>0</v>
      </c>
      <c r="U105" s="1">
        <v>0</v>
      </c>
      <c r="V105" s="1">
        <v>0</v>
      </c>
      <c r="W105" s="1">
        <v>0</v>
      </c>
      <c r="X105" s="1">
        <v>0</v>
      </c>
      <c r="Y105" s="1">
        <v>0</v>
      </c>
      <c r="Z105" s="1">
        <v>0</v>
      </c>
      <c r="AA105" s="1">
        <v>0</v>
      </c>
      <c r="AB105" s="1">
        <v>0</v>
      </c>
      <c r="AC105" s="1">
        <v>0</v>
      </c>
      <c r="AD105" s="1">
        <v>0</v>
      </c>
      <c r="AE105" s="1">
        <v>0</v>
      </c>
      <c r="AF105" s="1">
        <v>0</v>
      </c>
      <c r="AG105" s="1">
        <v>0</v>
      </c>
      <c r="AH105" s="1">
        <v>0</v>
      </c>
      <c r="AI105" s="1">
        <v>0</v>
      </c>
      <c r="AJ105" s="1">
        <v>18</v>
      </c>
      <c r="AK105" s="1">
        <v>0</v>
      </c>
      <c r="AL105" s="1">
        <v>0</v>
      </c>
      <c r="AM105" s="1">
        <v>0</v>
      </c>
      <c r="AN105" s="1">
        <v>0</v>
      </c>
    </row>
    <row r="106" spans="1:40" x14ac:dyDescent="0.3">
      <c r="A106" s="10">
        <v>45852</v>
      </c>
      <c r="B106" s="1">
        <v>0</v>
      </c>
      <c r="C106" s="1">
        <v>0</v>
      </c>
      <c r="D106" s="1">
        <v>0</v>
      </c>
      <c r="E106" s="1">
        <v>0</v>
      </c>
      <c r="F106" s="1">
        <v>2</v>
      </c>
      <c r="G106" s="1">
        <v>0</v>
      </c>
      <c r="H106" s="1">
        <v>9</v>
      </c>
      <c r="I106" s="1">
        <v>3</v>
      </c>
      <c r="J106" s="1"/>
      <c r="K106" s="1">
        <v>0</v>
      </c>
      <c r="L106" s="1">
        <v>3457.8</v>
      </c>
      <c r="M106" s="1">
        <v>0</v>
      </c>
      <c r="N106" s="1">
        <v>0</v>
      </c>
      <c r="O106" s="1">
        <v>436</v>
      </c>
      <c r="P106" s="1">
        <v>0</v>
      </c>
      <c r="Q106" s="1">
        <v>0</v>
      </c>
      <c r="R106" s="1">
        <v>0</v>
      </c>
      <c r="S106" s="1">
        <v>0</v>
      </c>
      <c r="T106" s="1">
        <v>0</v>
      </c>
      <c r="U106" s="1">
        <v>0</v>
      </c>
      <c r="V106" s="1">
        <v>0</v>
      </c>
      <c r="W106" s="1">
        <v>0</v>
      </c>
      <c r="X106" s="1">
        <v>0</v>
      </c>
      <c r="Y106" s="1">
        <v>0</v>
      </c>
      <c r="Z106" s="1">
        <v>0</v>
      </c>
      <c r="AA106" s="1">
        <v>0</v>
      </c>
      <c r="AB106" s="1">
        <v>0</v>
      </c>
      <c r="AC106" s="1">
        <v>0</v>
      </c>
      <c r="AD106" s="1">
        <v>2</v>
      </c>
      <c r="AE106" s="1">
        <v>0</v>
      </c>
      <c r="AF106" s="1">
        <v>0</v>
      </c>
      <c r="AG106" s="1">
        <v>0</v>
      </c>
      <c r="AH106" s="1">
        <v>0</v>
      </c>
      <c r="AI106" s="1">
        <v>0</v>
      </c>
      <c r="AJ106" s="1">
        <v>9</v>
      </c>
      <c r="AK106" s="1">
        <v>0</v>
      </c>
      <c r="AL106" s="1">
        <v>0</v>
      </c>
      <c r="AM106" s="1">
        <v>3</v>
      </c>
      <c r="AN106" s="1">
        <v>0</v>
      </c>
    </row>
    <row r="107" spans="1:40" x14ac:dyDescent="0.3">
      <c r="A107" s="10">
        <v>45853</v>
      </c>
      <c r="B107" s="1">
        <v>0</v>
      </c>
      <c r="C107" s="1">
        <v>0</v>
      </c>
      <c r="D107" s="1">
        <v>0</v>
      </c>
      <c r="E107" s="1">
        <v>0</v>
      </c>
      <c r="F107" s="1">
        <v>0</v>
      </c>
      <c r="G107" s="1">
        <v>0</v>
      </c>
      <c r="H107" s="1">
        <v>4</v>
      </c>
      <c r="I107" s="1">
        <v>0</v>
      </c>
      <c r="J107" s="1"/>
      <c r="K107" s="1">
        <v>0</v>
      </c>
      <c r="L107" s="1">
        <v>1531</v>
      </c>
      <c r="M107" s="1">
        <v>0</v>
      </c>
      <c r="N107" s="1">
        <v>0</v>
      </c>
      <c r="O107" s="1">
        <v>0</v>
      </c>
      <c r="P107" s="1">
        <v>0</v>
      </c>
      <c r="Q107" s="1">
        <v>0</v>
      </c>
      <c r="R107" s="1">
        <v>0</v>
      </c>
      <c r="S107" s="1">
        <v>0</v>
      </c>
      <c r="T107" s="1">
        <v>0</v>
      </c>
      <c r="U107" s="1">
        <v>0</v>
      </c>
      <c r="V107" s="1">
        <v>0</v>
      </c>
      <c r="W107" s="1">
        <v>0</v>
      </c>
      <c r="X107" s="1">
        <v>0</v>
      </c>
      <c r="Y107" s="1">
        <v>0</v>
      </c>
      <c r="Z107" s="1">
        <v>0</v>
      </c>
      <c r="AA107" s="1">
        <v>0</v>
      </c>
      <c r="AB107" s="1">
        <v>0</v>
      </c>
      <c r="AC107" s="1">
        <v>0</v>
      </c>
      <c r="AD107" s="1">
        <v>0</v>
      </c>
      <c r="AE107" s="1">
        <v>0</v>
      </c>
      <c r="AF107" s="1">
        <v>0</v>
      </c>
      <c r="AG107" s="1">
        <v>0</v>
      </c>
      <c r="AH107" s="1">
        <v>0</v>
      </c>
      <c r="AI107" s="1">
        <v>0</v>
      </c>
      <c r="AJ107" s="1">
        <v>2</v>
      </c>
      <c r="AK107" s="1">
        <v>2</v>
      </c>
      <c r="AL107" s="1">
        <v>0</v>
      </c>
      <c r="AM107" s="1">
        <v>0</v>
      </c>
      <c r="AN107" s="1">
        <v>0</v>
      </c>
    </row>
    <row r="108" spans="1:40" x14ac:dyDescent="0.3">
      <c r="A108" s="10">
        <v>45854</v>
      </c>
      <c r="B108" s="1">
        <v>0</v>
      </c>
      <c r="C108" s="1">
        <v>0</v>
      </c>
      <c r="D108" s="1">
        <v>0</v>
      </c>
      <c r="E108" s="1">
        <v>0</v>
      </c>
      <c r="F108" s="1">
        <v>0</v>
      </c>
      <c r="G108" s="1">
        <v>0</v>
      </c>
      <c r="H108" s="1">
        <v>5</v>
      </c>
      <c r="I108" s="1">
        <v>0</v>
      </c>
      <c r="J108" s="1"/>
      <c r="K108" s="1">
        <v>0</v>
      </c>
      <c r="L108" s="1">
        <v>512</v>
      </c>
      <c r="M108" s="1">
        <v>0</v>
      </c>
      <c r="N108" s="1">
        <v>0</v>
      </c>
      <c r="O108" s="1">
        <v>0</v>
      </c>
      <c r="P108" s="1">
        <v>0</v>
      </c>
      <c r="Q108" s="1">
        <v>0</v>
      </c>
      <c r="R108" s="1">
        <v>0</v>
      </c>
      <c r="S108" s="1">
        <v>0</v>
      </c>
      <c r="T108" s="1">
        <v>0</v>
      </c>
      <c r="U108" s="1">
        <v>0</v>
      </c>
      <c r="V108" s="1">
        <v>0</v>
      </c>
      <c r="W108" s="1">
        <v>0</v>
      </c>
      <c r="X108" s="1">
        <v>0</v>
      </c>
      <c r="Y108" s="1">
        <v>0</v>
      </c>
      <c r="Z108" s="1">
        <v>0</v>
      </c>
      <c r="AA108" s="1">
        <v>0</v>
      </c>
      <c r="AB108" s="1">
        <v>0</v>
      </c>
      <c r="AC108" s="1">
        <v>0</v>
      </c>
      <c r="AD108" s="1">
        <v>0</v>
      </c>
      <c r="AE108" s="1">
        <v>0</v>
      </c>
      <c r="AF108" s="1">
        <v>0</v>
      </c>
      <c r="AG108" s="1">
        <v>0</v>
      </c>
      <c r="AH108" s="1">
        <v>0</v>
      </c>
      <c r="AI108" s="1">
        <v>0</v>
      </c>
      <c r="AJ108" s="1">
        <v>4</v>
      </c>
      <c r="AK108" s="1">
        <v>1</v>
      </c>
      <c r="AL108" s="1">
        <v>0</v>
      </c>
      <c r="AM108" s="1">
        <v>0</v>
      </c>
      <c r="AN108" s="1">
        <v>0</v>
      </c>
    </row>
    <row r="109" spans="1:40" x14ac:dyDescent="0.3">
      <c r="A109" s="10">
        <v>45855</v>
      </c>
      <c r="B109" s="1">
        <v>0</v>
      </c>
      <c r="C109" s="1">
        <v>0</v>
      </c>
      <c r="D109" s="1">
        <v>0</v>
      </c>
      <c r="E109" s="1">
        <v>0</v>
      </c>
      <c r="F109" s="1">
        <v>0</v>
      </c>
      <c r="G109" s="1">
        <v>0</v>
      </c>
      <c r="H109" s="1">
        <v>5</v>
      </c>
      <c r="I109" s="1">
        <v>0</v>
      </c>
      <c r="J109" s="1"/>
      <c r="K109" s="1">
        <v>0</v>
      </c>
      <c r="L109" s="1">
        <v>263</v>
      </c>
      <c r="M109" s="1">
        <v>0</v>
      </c>
      <c r="N109" s="1">
        <v>0</v>
      </c>
      <c r="O109" s="1">
        <v>0</v>
      </c>
      <c r="P109" s="1">
        <v>0</v>
      </c>
      <c r="Q109" s="1">
        <v>0</v>
      </c>
      <c r="R109" s="1">
        <v>0</v>
      </c>
      <c r="S109" s="1">
        <v>0</v>
      </c>
      <c r="T109" s="1">
        <v>0</v>
      </c>
      <c r="U109" s="1">
        <v>0</v>
      </c>
      <c r="V109" s="1">
        <v>0</v>
      </c>
      <c r="W109" s="1">
        <v>0</v>
      </c>
      <c r="X109" s="1">
        <v>0</v>
      </c>
      <c r="Y109" s="1">
        <v>0</v>
      </c>
      <c r="Z109" s="1">
        <v>0</v>
      </c>
      <c r="AA109" s="1">
        <v>0</v>
      </c>
      <c r="AB109" s="1">
        <v>0</v>
      </c>
      <c r="AC109" s="1">
        <v>0</v>
      </c>
      <c r="AD109" s="1">
        <v>0</v>
      </c>
      <c r="AE109" s="1">
        <v>0</v>
      </c>
      <c r="AF109" s="1">
        <v>0</v>
      </c>
      <c r="AG109" s="1">
        <v>0</v>
      </c>
      <c r="AH109" s="1">
        <v>0</v>
      </c>
      <c r="AI109" s="1">
        <v>0</v>
      </c>
      <c r="AJ109" s="1">
        <v>5</v>
      </c>
      <c r="AK109" s="1">
        <v>0</v>
      </c>
      <c r="AL109" s="1">
        <v>0</v>
      </c>
      <c r="AM109" s="1">
        <v>0</v>
      </c>
      <c r="AN109" s="1">
        <v>0</v>
      </c>
    </row>
    <row r="110" spans="1:40" x14ac:dyDescent="0.3">
      <c r="A110" s="10">
        <v>45856</v>
      </c>
      <c r="B110" s="1">
        <v>1</v>
      </c>
      <c r="C110" s="1">
        <v>0</v>
      </c>
      <c r="D110" s="1">
        <v>0</v>
      </c>
      <c r="E110" s="1">
        <v>0</v>
      </c>
      <c r="F110" s="1">
        <v>0</v>
      </c>
      <c r="G110" s="1">
        <v>0</v>
      </c>
      <c r="H110" s="1">
        <v>3</v>
      </c>
      <c r="I110" s="1">
        <v>0</v>
      </c>
      <c r="J110" s="1"/>
      <c r="K110" s="1">
        <v>0</v>
      </c>
      <c r="L110" s="1">
        <v>169</v>
      </c>
      <c r="M110" s="1">
        <v>0</v>
      </c>
      <c r="N110" s="1">
        <v>0</v>
      </c>
      <c r="O110" s="1">
        <v>0</v>
      </c>
      <c r="P110" s="1">
        <v>0</v>
      </c>
      <c r="Q110" s="1">
        <v>0</v>
      </c>
      <c r="R110" s="1">
        <v>1</v>
      </c>
      <c r="S110" s="1">
        <v>0</v>
      </c>
      <c r="T110" s="1">
        <v>0</v>
      </c>
      <c r="U110" s="1">
        <v>0</v>
      </c>
      <c r="V110" s="1">
        <v>0</v>
      </c>
      <c r="W110" s="1">
        <v>0</v>
      </c>
      <c r="X110" s="1">
        <v>0</v>
      </c>
      <c r="Y110" s="1">
        <v>0</v>
      </c>
      <c r="Z110" s="1">
        <v>0</v>
      </c>
      <c r="AA110" s="1">
        <v>0</v>
      </c>
      <c r="AB110" s="1">
        <v>0</v>
      </c>
      <c r="AC110" s="1">
        <v>0</v>
      </c>
      <c r="AD110" s="1">
        <v>0</v>
      </c>
      <c r="AE110" s="1">
        <v>0</v>
      </c>
      <c r="AF110" s="1">
        <v>0</v>
      </c>
      <c r="AG110" s="1">
        <v>0</v>
      </c>
      <c r="AH110" s="1">
        <v>0</v>
      </c>
      <c r="AI110" s="1">
        <v>0</v>
      </c>
      <c r="AJ110" s="1">
        <v>2</v>
      </c>
      <c r="AK110" s="1">
        <v>1</v>
      </c>
      <c r="AL110" s="1">
        <v>0</v>
      </c>
      <c r="AM110" s="1">
        <v>0</v>
      </c>
      <c r="AN110" s="1">
        <v>0</v>
      </c>
    </row>
    <row r="111" spans="1:40" x14ac:dyDescent="0.3">
      <c r="A111" s="10">
        <v>45857</v>
      </c>
      <c r="B111" s="1">
        <v>0</v>
      </c>
      <c r="C111" s="1">
        <v>0</v>
      </c>
      <c r="D111" s="1">
        <v>0</v>
      </c>
      <c r="E111" s="1">
        <v>0</v>
      </c>
      <c r="F111" s="1">
        <v>0</v>
      </c>
      <c r="G111" s="1">
        <v>0</v>
      </c>
      <c r="H111" s="1">
        <v>10</v>
      </c>
      <c r="I111" s="1">
        <v>0</v>
      </c>
      <c r="J111" s="1"/>
      <c r="K111" s="1">
        <v>0</v>
      </c>
      <c r="L111" s="1">
        <v>1242</v>
      </c>
      <c r="M111" s="1">
        <v>0</v>
      </c>
      <c r="N111" s="1">
        <v>0</v>
      </c>
      <c r="O111" s="1">
        <v>0</v>
      </c>
      <c r="P111" s="1">
        <v>0</v>
      </c>
      <c r="Q111" s="1">
        <v>0</v>
      </c>
      <c r="R111" s="1">
        <v>0</v>
      </c>
      <c r="S111" s="1">
        <v>0</v>
      </c>
      <c r="T111" s="1">
        <v>0</v>
      </c>
      <c r="U111" s="1">
        <v>0</v>
      </c>
      <c r="V111" s="1">
        <v>0</v>
      </c>
      <c r="W111" s="1">
        <v>0</v>
      </c>
      <c r="X111" s="1">
        <v>0</v>
      </c>
      <c r="Y111" s="1">
        <v>0</v>
      </c>
      <c r="Z111" s="1">
        <v>0</v>
      </c>
      <c r="AA111" s="1">
        <v>0</v>
      </c>
      <c r="AB111" s="1">
        <v>0</v>
      </c>
      <c r="AC111" s="1">
        <v>0</v>
      </c>
      <c r="AD111" s="1">
        <v>0</v>
      </c>
      <c r="AE111" s="1">
        <v>0</v>
      </c>
      <c r="AF111" s="1">
        <v>0</v>
      </c>
      <c r="AG111" s="1">
        <v>0</v>
      </c>
      <c r="AH111" s="1">
        <v>0</v>
      </c>
      <c r="AI111" s="1">
        <v>0</v>
      </c>
      <c r="AJ111" s="1">
        <v>8</v>
      </c>
      <c r="AK111" s="1">
        <v>2</v>
      </c>
      <c r="AL111" s="1">
        <v>0</v>
      </c>
      <c r="AM111" s="1">
        <v>0</v>
      </c>
      <c r="AN111" s="1">
        <v>0</v>
      </c>
    </row>
    <row r="112" spans="1:40" x14ac:dyDescent="0.3">
      <c r="A112" s="10">
        <v>45858</v>
      </c>
      <c r="B112" s="1">
        <v>0</v>
      </c>
      <c r="C112" s="1">
        <v>0</v>
      </c>
      <c r="D112" s="1">
        <v>0</v>
      </c>
      <c r="E112" s="1">
        <v>0</v>
      </c>
      <c r="F112" s="1">
        <v>0</v>
      </c>
      <c r="G112" s="1">
        <v>0</v>
      </c>
      <c r="H112" s="1">
        <v>17</v>
      </c>
      <c r="I112" s="1">
        <v>0</v>
      </c>
      <c r="J112" s="1"/>
      <c r="K112" s="1">
        <v>0</v>
      </c>
      <c r="L112" s="1">
        <v>5202</v>
      </c>
      <c r="M112" s="1">
        <v>0</v>
      </c>
      <c r="N112" s="1">
        <v>0</v>
      </c>
      <c r="O112" s="1">
        <v>0</v>
      </c>
      <c r="P112" s="1">
        <v>0</v>
      </c>
      <c r="Q112" s="1">
        <v>0</v>
      </c>
      <c r="R112" s="1">
        <v>0</v>
      </c>
      <c r="S112" s="1">
        <v>0</v>
      </c>
      <c r="T112" s="1">
        <v>0</v>
      </c>
      <c r="U112" s="1">
        <v>0</v>
      </c>
      <c r="V112" s="1">
        <v>0</v>
      </c>
      <c r="W112" s="1">
        <v>0</v>
      </c>
      <c r="X112" s="1">
        <v>0</v>
      </c>
      <c r="Y112" s="1">
        <v>0</v>
      </c>
      <c r="Z112" s="1">
        <v>0</v>
      </c>
      <c r="AA112" s="1">
        <v>0</v>
      </c>
      <c r="AB112" s="1">
        <v>0</v>
      </c>
      <c r="AC112" s="1">
        <v>0</v>
      </c>
      <c r="AD112" s="1">
        <v>0</v>
      </c>
      <c r="AE112" s="1">
        <v>0</v>
      </c>
      <c r="AF112" s="1">
        <v>0</v>
      </c>
      <c r="AG112" s="1">
        <v>0</v>
      </c>
      <c r="AH112" s="1">
        <v>0</v>
      </c>
      <c r="AI112" s="1">
        <v>0</v>
      </c>
      <c r="AJ112" s="1">
        <v>15</v>
      </c>
      <c r="AK112" s="1">
        <v>2</v>
      </c>
      <c r="AL112" s="1">
        <v>0</v>
      </c>
      <c r="AM112" s="1">
        <v>0</v>
      </c>
      <c r="AN112" s="1">
        <v>0</v>
      </c>
    </row>
    <row r="113" spans="1:40" x14ac:dyDescent="0.3">
      <c r="A113" s="10">
        <v>45859</v>
      </c>
      <c r="B113" s="1">
        <v>3</v>
      </c>
      <c r="C113" s="1">
        <v>0</v>
      </c>
      <c r="D113" s="1">
        <v>0</v>
      </c>
      <c r="E113" s="1">
        <v>0</v>
      </c>
      <c r="F113" s="1">
        <v>0</v>
      </c>
      <c r="G113" s="1">
        <v>0</v>
      </c>
      <c r="H113" s="1">
        <v>13</v>
      </c>
      <c r="I113" s="1">
        <v>0</v>
      </c>
      <c r="J113" s="1"/>
      <c r="K113" s="1">
        <v>0</v>
      </c>
      <c r="L113" s="1">
        <v>6611</v>
      </c>
      <c r="M113" s="1">
        <v>0</v>
      </c>
      <c r="N113" s="1">
        <v>0</v>
      </c>
      <c r="O113" s="1">
        <v>0</v>
      </c>
      <c r="P113" s="1">
        <v>0</v>
      </c>
      <c r="Q113" s="1">
        <v>0</v>
      </c>
      <c r="R113" s="1">
        <v>3</v>
      </c>
      <c r="S113" s="1">
        <v>0</v>
      </c>
      <c r="T113" s="1">
        <v>0</v>
      </c>
      <c r="U113" s="1">
        <v>0</v>
      </c>
      <c r="V113" s="1">
        <v>0</v>
      </c>
      <c r="W113" s="1">
        <v>0</v>
      </c>
      <c r="X113" s="1">
        <v>0</v>
      </c>
      <c r="Y113" s="1">
        <v>0</v>
      </c>
      <c r="Z113" s="1">
        <v>0</v>
      </c>
      <c r="AA113" s="1">
        <v>0</v>
      </c>
      <c r="AB113" s="1">
        <v>0</v>
      </c>
      <c r="AC113" s="1">
        <v>0</v>
      </c>
      <c r="AD113" s="1">
        <v>0</v>
      </c>
      <c r="AE113" s="1">
        <v>0</v>
      </c>
      <c r="AF113" s="1">
        <v>0</v>
      </c>
      <c r="AG113" s="1">
        <v>0</v>
      </c>
      <c r="AH113" s="1">
        <v>0</v>
      </c>
      <c r="AI113" s="1">
        <v>0</v>
      </c>
      <c r="AJ113" s="1">
        <v>10</v>
      </c>
      <c r="AK113" s="1">
        <v>3</v>
      </c>
      <c r="AL113" s="1">
        <v>0</v>
      </c>
      <c r="AM113" s="1">
        <v>0</v>
      </c>
      <c r="AN113" s="1">
        <v>0</v>
      </c>
    </row>
    <row r="114" spans="1:40" x14ac:dyDescent="0.3">
      <c r="A114" s="10">
        <v>45860</v>
      </c>
      <c r="B114" s="1">
        <v>0</v>
      </c>
      <c r="C114" s="1">
        <v>2</v>
      </c>
      <c r="D114" s="1">
        <v>0</v>
      </c>
      <c r="E114" s="1">
        <v>0</v>
      </c>
      <c r="F114" s="1">
        <v>3</v>
      </c>
      <c r="G114" s="1">
        <v>0</v>
      </c>
      <c r="H114" s="1">
        <v>5</v>
      </c>
      <c r="I114" s="1">
        <v>1</v>
      </c>
      <c r="J114" s="1"/>
      <c r="K114" s="1">
        <v>0</v>
      </c>
      <c r="L114" s="1">
        <v>5038</v>
      </c>
      <c r="M114" s="1">
        <v>0</v>
      </c>
      <c r="N114" s="1">
        <v>0</v>
      </c>
      <c r="O114" s="1">
        <v>0</v>
      </c>
      <c r="P114" s="1">
        <v>0</v>
      </c>
      <c r="Q114" s="1">
        <v>0</v>
      </c>
      <c r="R114" s="1">
        <v>0</v>
      </c>
      <c r="S114" s="1">
        <v>0</v>
      </c>
      <c r="T114" s="1">
        <v>0</v>
      </c>
      <c r="U114" s="1">
        <v>2</v>
      </c>
      <c r="V114" s="1">
        <v>0</v>
      </c>
      <c r="W114" s="1">
        <v>0</v>
      </c>
      <c r="X114" s="1">
        <v>0</v>
      </c>
      <c r="Y114" s="1">
        <v>0</v>
      </c>
      <c r="Z114" s="1">
        <v>0</v>
      </c>
      <c r="AA114" s="1">
        <v>0</v>
      </c>
      <c r="AB114" s="1">
        <v>0</v>
      </c>
      <c r="AC114" s="1">
        <v>0</v>
      </c>
      <c r="AD114" s="1">
        <v>3</v>
      </c>
      <c r="AE114" s="1">
        <v>0</v>
      </c>
      <c r="AF114" s="1">
        <v>0</v>
      </c>
      <c r="AG114" s="1">
        <v>0</v>
      </c>
      <c r="AH114" s="1">
        <v>0</v>
      </c>
      <c r="AI114" s="1">
        <v>0</v>
      </c>
      <c r="AJ114" s="1">
        <v>5</v>
      </c>
      <c r="AK114" s="1">
        <v>0</v>
      </c>
      <c r="AL114" s="1">
        <v>0</v>
      </c>
      <c r="AM114" s="1">
        <v>1</v>
      </c>
      <c r="AN114" s="1">
        <v>0</v>
      </c>
    </row>
    <row r="115" spans="1:40" x14ac:dyDescent="0.3">
      <c r="A115" s="10">
        <v>45861</v>
      </c>
      <c r="B115" s="1">
        <v>4</v>
      </c>
      <c r="C115" s="1">
        <v>2</v>
      </c>
      <c r="D115" s="1">
        <v>0</v>
      </c>
      <c r="E115" s="1">
        <v>0</v>
      </c>
      <c r="F115" s="1">
        <v>0</v>
      </c>
      <c r="G115" s="1">
        <v>0</v>
      </c>
      <c r="H115" s="1">
        <v>20</v>
      </c>
      <c r="I115" s="1">
        <v>0</v>
      </c>
      <c r="J115" s="1"/>
      <c r="K115" s="1">
        <v>0</v>
      </c>
      <c r="L115" s="1">
        <v>4414</v>
      </c>
      <c r="M115" s="1">
        <v>0</v>
      </c>
      <c r="N115" s="1">
        <v>0</v>
      </c>
      <c r="O115" s="1">
        <v>0</v>
      </c>
      <c r="P115" s="1">
        <v>0</v>
      </c>
      <c r="Q115" s="1">
        <v>0</v>
      </c>
      <c r="R115" s="1">
        <v>4</v>
      </c>
      <c r="S115" s="1">
        <v>0</v>
      </c>
      <c r="T115" s="1">
        <v>0</v>
      </c>
      <c r="U115" s="1">
        <v>2</v>
      </c>
      <c r="V115" s="1">
        <v>0</v>
      </c>
      <c r="W115" s="1">
        <v>0</v>
      </c>
      <c r="X115" s="1">
        <v>0</v>
      </c>
      <c r="Y115" s="1">
        <v>0</v>
      </c>
      <c r="Z115" s="1">
        <v>0</v>
      </c>
      <c r="AA115" s="1">
        <v>0</v>
      </c>
      <c r="AB115" s="1">
        <v>0</v>
      </c>
      <c r="AC115" s="1">
        <v>0</v>
      </c>
      <c r="AD115" s="1">
        <v>0</v>
      </c>
      <c r="AE115" s="1">
        <v>0</v>
      </c>
      <c r="AF115" s="1">
        <v>0</v>
      </c>
      <c r="AG115" s="1">
        <v>0</v>
      </c>
      <c r="AH115" s="1">
        <v>0</v>
      </c>
      <c r="AI115" s="1">
        <v>0</v>
      </c>
      <c r="AJ115" s="1">
        <v>18</v>
      </c>
      <c r="AK115" s="1">
        <v>2</v>
      </c>
      <c r="AL115" s="1">
        <v>0</v>
      </c>
      <c r="AM115" s="1">
        <v>0</v>
      </c>
      <c r="AN115" s="1">
        <v>0</v>
      </c>
    </row>
    <row r="116" spans="1:40" x14ac:dyDescent="0.3">
      <c r="A116" s="10">
        <v>45862</v>
      </c>
      <c r="B116" s="1">
        <v>8</v>
      </c>
      <c r="C116" s="1">
        <v>0</v>
      </c>
      <c r="D116" s="1">
        <v>0</v>
      </c>
      <c r="E116" s="1">
        <v>0</v>
      </c>
      <c r="F116" s="1">
        <v>3</v>
      </c>
      <c r="G116" s="1">
        <v>0</v>
      </c>
      <c r="H116" s="1">
        <v>10</v>
      </c>
      <c r="I116" s="1">
        <v>0</v>
      </c>
      <c r="J116" s="1"/>
      <c r="K116" s="1">
        <v>0</v>
      </c>
      <c r="L116" s="1">
        <v>3865</v>
      </c>
      <c r="M116" s="1">
        <v>0</v>
      </c>
      <c r="N116" s="1">
        <v>0</v>
      </c>
      <c r="O116" s="1">
        <v>0</v>
      </c>
      <c r="P116" s="1">
        <v>0</v>
      </c>
      <c r="Q116" s="1">
        <v>0</v>
      </c>
      <c r="R116" s="1">
        <v>8</v>
      </c>
      <c r="S116" s="1">
        <v>0</v>
      </c>
      <c r="T116" s="1">
        <v>0</v>
      </c>
      <c r="U116" s="1">
        <v>0</v>
      </c>
      <c r="V116" s="1">
        <v>0</v>
      </c>
      <c r="W116" s="1">
        <v>0</v>
      </c>
      <c r="X116" s="1">
        <v>0</v>
      </c>
      <c r="Y116" s="1">
        <v>0</v>
      </c>
      <c r="Z116" s="1">
        <v>0</v>
      </c>
      <c r="AA116" s="1">
        <v>0</v>
      </c>
      <c r="AB116" s="1">
        <v>0</v>
      </c>
      <c r="AC116" s="1">
        <v>0</v>
      </c>
      <c r="AD116" s="1">
        <v>3</v>
      </c>
      <c r="AE116" s="1">
        <v>0</v>
      </c>
      <c r="AF116" s="1">
        <v>0</v>
      </c>
      <c r="AG116" s="1">
        <v>0</v>
      </c>
      <c r="AH116" s="1">
        <v>0</v>
      </c>
      <c r="AI116" s="1">
        <v>0</v>
      </c>
      <c r="AJ116" s="1">
        <v>10</v>
      </c>
      <c r="AK116" s="1">
        <v>0</v>
      </c>
      <c r="AL116" s="1">
        <v>0</v>
      </c>
      <c r="AM116" s="1">
        <v>0</v>
      </c>
      <c r="AN116" s="1">
        <v>0</v>
      </c>
    </row>
    <row r="117" spans="1:40" x14ac:dyDescent="0.3">
      <c r="A117" s="10">
        <v>45863</v>
      </c>
      <c r="B117" s="1">
        <v>5</v>
      </c>
      <c r="C117" s="1">
        <v>0</v>
      </c>
      <c r="D117" s="1">
        <v>0</v>
      </c>
      <c r="E117" s="1">
        <v>0</v>
      </c>
      <c r="F117" s="1">
        <v>1</v>
      </c>
      <c r="G117" s="1">
        <v>0</v>
      </c>
      <c r="H117" s="1">
        <v>18</v>
      </c>
      <c r="I117" s="1">
        <v>0</v>
      </c>
      <c r="J117" s="1"/>
      <c r="K117" s="1">
        <v>0</v>
      </c>
      <c r="L117" s="1">
        <v>4787</v>
      </c>
      <c r="M117" s="1">
        <v>0</v>
      </c>
      <c r="N117" s="1">
        <v>0</v>
      </c>
      <c r="O117" s="1">
        <v>0</v>
      </c>
      <c r="P117" s="1">
        <v>0</v>
      </c>
      <c r="Q117" s="1">
        <v>0</v>
      </c>
      <c r="R117" s="1">
        <v>5</v>
      </c>
      <c r="S117" s="1">
        <v>0</v>
      </c>
      <c r="T117" s="1">
        <v>0</v>
      </c>
      <c r="U117" s="1">
        <v>0</v>
      </c>
      <c r="V117" s="1">
        <v>0</v>
      </c>
      <c r="W117" s="1">
        <v>0</v>
      </c>
      <c r="X117" s="1">
        <v>0</v>
      </c>
      <c r="Y117" s="1">
        <v>0</v>
      </c>
      <c r="Z117" s="1">
        <v>0</v>
      </c>
      <c r="AA117" s="1">
        <v>0</v>
      </c>
      <c r="AB117" s="1">
        <v>0</v>
      </c>
      <c r="AC117" s="1">
        <v>0</v>
      </c>
      <c r="AD117" s="1">
        <v>1</v>
      </c>
      <c r="AE117" s="1">
        <v>0</v>
      </c>
      <c r="AF117" s="1">
        <v>0</v>
      </c>
      <c r="AG117" s="1">
        <v>0</v>
      </c>
      <c r="AH117" s="1">
        <v>0</v>
      </c>
      <c r="AI117" s="1">
        <v>0</v>
      </c>
      <c r="AJ117" s="1">
        <v>18</v>
      </c>
      <c r="AK117" s="1">
        <v>0</v>
      </c>
      <c r="AL117" s="1">
        <v>0</v>
      </c>
      <c r="AM117" s="1">
        <v>0</v>
      </c>
      <c r="AN117" s="1">
        <v>0</v>
      </c>
    </row>
    <row r="118" spans="1:40" x14ac:dyDescent="0.3">
      <c r="A118" s="10">
        <v>45864</v>
      </c>
      <c r="B118" s="1">
        <v>2</v>
      </c>
      <c r="C118" s="1">
        <v>0</v>
      </c>
      <c r="D118" s="1">
        <v>0</v>
      </c>
      <c r="E118" s="1">
        <v>0</v>
      </c>
      <c r="F118" s="1">
        <v>0</v>
      </c>
      <c r="G118" s="1">
        <v>0</v>
      </c>
      <c r="H118" s="1">
        <v>9</v>
      </c>
      <c r="I118" s="1">
        <v>0</v>
      </c>
      <c r="J118" s="1"/>
      <c r="K118" s="1">
        <v>0</v>
      </c>
      <c r="L118" s="1">
        <v>6489</v>
      </c>
      <c r="M118" s="1">
        <v>0</v>
      </c>
      <c r="N118" s="1">
        <v>0</v>
      </c>
      <c r="O118" s="1">
        <v>0</v>
      </c>
      <c r="P118" s="1">
        <v>0</v>
      </c>
      <c r="Q118" s="1">
        <v>0</v>
      </c>
      <c r="R118" s="1">
        <v>2</v>
      </c>
      <c r="S118" s="1">
        <v>0</v>
      </c>
      <c r="T118" s="1">
        <v>0</v>
      </c>
      <c r="U118" s="1">
        <v>0</v>
      </c>
      <c r="V118" s="1">
        <v>0</v>
      </c>
      <c r="W118" s="1">
        <v>0</v>
      </c>
      <c r="X118" s="1">
        <v>0</v>
      </c>
      <c r="Y118" s="1">
        <v>0</v>
      </c>
      <c r="Z118" s="1">
        <v>0</v>
      </c>
      <c r="AA118" s="1">
        <v>0</v>
      </c>
      <c r="AB118" s="1">
        <v>0</v>
      </c>
      <c r="AC118" s="1">
        <v>0</v>
      </c>
      <c r="AD118" s="1">
        <v>0</v>
      </c>
      <c r="AE118" s="1">
        <v>0</v>
      </c>
      <c r="AF118" s="1">
        <v>0</v>
      </c>
      <c r="AG118" s="1">
        <v>0</v>
      </c>
      <c r="AH118" s="1">
        <v>0</v>
      </c>
      <c r="AI118" s="1">
        <v>0</v>
      </c>
      <c r="AJ118" s="1">
        <v>8</v>
      </c>
      <c r="AK118" s="1">
        <v>1</v>
      </c>
      <c r="AL118" s="1">
        <v>0</v>
      </c>
      <c r="AM118" s="1">
        <v>0</v>
      </c>
      <c r="AN118" s="1">
        <v>0</v>
      </c>
    </row>
    <row r="119" spans="1:40" x14ac:dyDescent="0.3">
      <c r="A119" s="10">
        <v>45865</v>
      </c>
      <c r="B119" s="1">
        <v>1</v>
      </c>
      <c r="C119" s="1">
        <v>0</v>
      </c>
      <c r="D119" s="1">
        <v>0</v>
      </c>
      <c r="E119" s="1">
        <v>0</v>
      </c>
      <c r="F119" s="1">
        <v>0</v>
      </c>
      <c r="G119" s="1">
        <v>0</v>
      </c>
      <c r="H119" s="1">
        <v>10</v>
      </c>
      <c r="I119" s="1">
        <v>0</v>
      </c>
      <c r="J119" s="1"/>
      <c r="K119" s="1">
        <v>0</v>
      </c>
      <c r="L119" s="1">
        <v>7795</v>
      </c>
      <c r="M119" s="1">
        <v>0</v>
      </c>
      <c r="N119" s="1">
        <v>0</v>
      </c>
      <c r="O119" s="1">
        <v>0</v>
      </c>
      <c r="P119" s="1">
        <v>0</v>
      </c>
      <c r="Q119" s="1">
        <v>0</v>
      </c>
      <c r="R119" s="1">
        <v>1</v>
      </c>
      <c r="S119" s="1">
        <v>0</v>
      </c>
      <c r="T119" s="1">
        <v>0</v>
      </c>
      <c r="U119" s="1">
        <v>0</v>
      </c>
      <c r="V119" s="1">
        <v>0</v>
      </c>
      <c r="W119" s="1">
        <v>0</v>
      </c>
      <c r="X119" s="1">
        <v>0</v>
      </c>
      <c r="Y119" s="1">
        <v>0</v>
      </c>
      <c r="Z119" s="1">
        <v>0</v>
      </c>
      <c r="AA119" s="1">
        <v>0</v>
      </c>
      <c r="AB119" s="1">
        <v>0</v>
      </c>
      <c r="AC119" s="1">
        <v>0</v>
      </c>
      <c r="AD119" s="1">
        <v>0</v>
      </c>
      <c r="AE119" s="1">
        <v>0</v>
      </c>
      <c r="AF119" s="1">
        <v>0</v>
      </c>
      <c r="AG119" s="1">
        <v>0</v>
      </c>
      <c r="AH119" s="1">
        <v>0</v>
      </c>
      <c r="AI119" s="1">
        <v>0</v>
      </c>
      <c r="AJ119" s="1">
        <v>7</v>
      </c>
      <c r="AK119" s="1">
        <v>3</v>
      </c>
      <c r="AL119" s="1">
        <v>0</v>
      </c>
      <c r="AM119" s="1">
        <v>0</v>
      </c>
      <c r="AN119" s="1">
        <v>0</v>
      </c>
    </row>
    <row r="120" spans="1:40" x14ac:dyDescent="0.3">
      <c r="A120" s="10">
        <v>45866</v>
      </c>
      <c r="B120" s="1">
        <v>1</v>
      </c>
      <c r="C120" s="1">
        <v>0</v>
      </c>
      <c r="D120" s="1">
        <v>0</v>
      </c>
      <c r="E120" s="1">
        <v>0</v>
      </c>
      <c r="F120" s="1">
        <v>0</v>
      </c>
      <c r="G120" s="1">
        <v>0</v>
      </c>
      <c r="H120" s="1">
        <v>1</v>
      </c>
      <c r="I120" s="1">
        <v>0</v>
      </c>
      <c r="J120" s="1"/>
      <c r="K120" s="1">
        <v>0</v>
      </c>
      <c r="L120" s="1">
        <v>8930</v>
      </c>
      <c r="M120" s="1">
        <v>0</v>
      </c>
      <c r="N120" s="1">
        <v>0</v>
      </c>
      <c r="O120" s="1">
        <v>0</v>
      </c>
      <c r="P120" s="1">
        <v>0</v>
      </c>
      <c r="Q120" s="1">
        <v>0</v>
      </c>
      <c r="R120" s="1">
        <v>1</v>
      </c>
      <c r="S120" s="1">
        <v>0</v>
      </c>
      <c r="T120" s="1">
        <v>0</v>
      </c>
      <c r="U120" s="1">
        <v>0</v>
      </c>
      <c r="V120" s="1">
        <v>0</v>
      </c>
      <c r="W120" s="1">
        <v>0</v>
      </c>
      <c r="X120" s="1">
        <v>0</v>
      </c>
      <c r="Y120" s="1">
        <v>0</v>
      </c>
      <c r="Z120" s="1">
        <v>0</v>
      </c>
      <c r="AA120" s="1">
        <v>0</v>
      </c>
      <c r="AB120" s="1">
        <v>0</v>
      </c>
      <c r="AC120" s="1">
        <v>0</v>
      </c>
      <c r="AD120" s="1">
        <v>0</v>
      </c>
      <c r="AE120" s="1">
        <v>0</v>
      </c>
      <c r="AF120" s="1">
        <v>0</v>
      </c>
      <c r="AG120" s="1">
        <v>0</v>
      </c>
      <c r="AH120" s="1">
        <v>0</v>
      </c>
      <c r="AI120" s="1">
        <v>0</v>
      </c>
      <c r="AJ120" s="1">
        <v>1</v>
      </c>
      <c r="AK120" s="1">
        <v>0</v>
      </c>
      <c r="AL120" s="1">
        <v>0</v>
      </c>
      <c r="AM120" s="1">
        <v>0</v>
      </c>
      <c r="AN120" s="1">
        <v>0</v>
      </c>
    </row>
    <row r="121" spans="1:40" x14ac:dyDescent="0.3">
      <c r="A121" s="10">
        <v>45867</v>
      </c>
      <c r="B121" s="1">
        <v>16</v>
      </c>
      <c r="C121" s="1">
        <v>0</v>
      </c>
      <c r="D121" s="1">
        <v>0</v>
      </c>
      <c r="E121" s="1">
        <v>0</v>
      </c>
      <c r="F121" s="1">
        <v>9</v>
      </c>
      <c r="G121" s="1">
        <v>0</v>
      </c>
      <c r="H121" s="1">
        <v>33</v>
      </c>
      <c r="I121" s="1">
        <v>0</v>
      </c>
      <c r="J121" s="1"/>
      <c r="K121" s="1">
        <v>0</v>
      </c>
      <c r="L121" s="1">
        <v>11396</v>
      </c>
      <c r="M121" s="1">
        <v>0</v>
      </c>
      <c r="N121" s="1">
        <v>0</v>
      </c>
      <c r="O121" s="1">
        <v>0</v>
      </c>
      <c r="P121" s="1">
        <v>0</v>
      </c>
      <c r="Q121" s="1">
        <v>0</v>
      </c>
      <c r="R121" s="1">
        <v>16</v>
      </c>
      <c r="S121" s="1">
        <v>0</v>
      </c>
      <c r="T121" s="1">
        <v>0</v>
      </c>
      <c r="U121" s="1">
        <v>0</v>
      </c>
      <c r="V121" s="1">
        <v>0</v>
      </c>
      <c r="W121" s="1">
        <v>0</v>
      </c>
      <c r="X121" s="1">
        <v>0</v>
      </c>
      <c r="Y121" s="1">
        <v>0</v>
      </c>
      <c r="Z121" s="1">
        <v>0</v>
      </c>
      <c r="AA121" s="1">
        <v>0</v>
      </c>
      <c r="AB121" s="1">
        <v>0</v>
      </c>
      <c r="AC121" s="1">
        <v>0</v>
      </c>
      <c r="AD121" s="1">
        <v>9</v>
      </c>
      <c r="AE121" s="1">
        <v>0</v>
      </c>
      <c r="AF121" s="1">
        <v>0</v>
      </c>
      <c r="AG121" s="1">
        <v>0</v>
      </c>
      <c r="AH121" s="1">
        <v>0</v>
      </c>
      <c r="AI121" s="1">
        <v>0</v>
      </c>
      <c r="AJ121" s="1">
        <v>27</v>
      </c>
      <c r="AK121" s="1">
        <v>6</v>
      </c>
      <c r="AL121" s="1">
        <v>0</v>
      </c>
      <c r="AM121" s="1">
        <v>0</v>
      </c>
      <c r="AN121" s="1">
        <v>0</v>
      </c>
    </row>
    <row r="122" spans="1:40" x14ac:dyDescent="0.3">
      <c r="A122" s="10">
        <v>45868</v>
      </c>
      <c r="B122" s="1">
        <v>6</v>
      </c>
      <c r="C122" s="1">
        <v>0</v>
      </c>
      <c r="D122" s="1">
        <v>0</v>
      </c>
      <c r="E122" s="1">
        <v>0</v>
      </c>
      <c r="F122" s="1">
        <v>0</v>
      </c>
      <c r="G122" s="1">
        <v>0</v>
      </c>
      <c r="H122" s="1">
        <v>18</v>
      </c>
      <c r="I122" s="1">
        <v>3</v>
      </c>
      <c r="J122" s="1"/>
      <c r="K122" s="1">
        <v>0</v>
      </c>
      <c r="L122" s="1">
        <v>9303</v>
      </c>
      <c r="M122" s="1">
        <v>0</v>
      </c>
      <c r="N122" s="1">
        <v>0</v>
      </c>
      <c r="O122" s="1">
        <v>0</v>
      </c>
      <c r="P122" s="1">
        <v>0</v>
      </c>
      <c r="Q122" s="1">
        <v>0</v>
      </c>
      <c r="R122" s="1">
        <v>6</v>
      </c>
      <c r="S122" s="1">
        <v>0</v>
      </c>
      <c r="T122" s="1">
        <v>0</v>
      </c>
      <c r="U122" s="1">
        <v>0</v>
      </c>
      <c r="V122" s="1">
        <v>0</v>
      </c>
      <c r="W122" s="1">
        <v>0</v>
      </c>
      <c r="X122" s="1">
        <v>0</v>
      </c>
      <c r="Y122" s="1">
        <v>0</v>
      </c>
      <c r="Z122" s="1">
        <v>0</v>
      </c>
      <c r="AA122" s="1">
        <v>0</v>
      </c>
      <c r="AB122" s="1">
        <v>0</v>
      </c>
      <c r="AC122" s="1">
        <v>0</v>
      </c>
      <c r="AD122" s="1">
        <v>0</v>
      </c>
      <c r="AE122" s="1">
        <v>0</v>
      </c>
      <c r="AF122" s="1">
        <v>0</v>
      </c>
      <c r="AG122" s="1">
        <v>0</v>
      </c>
      <c r="AH122" s="1">
        <v>0</v>
      </c>
      <c r="AI122" s="1">
        <v>0</v>
      </c>
      <c r="AJ122" s="1">
        <v>6</v>
      </c>
      <c r="AK122" s="1">
        <v>12</v>
      </c>
      <c r="AL122" s="1">
        <v>0</v>
      </c>
      <c r="AM122" s="1">
        <v>3</v>
      </c>
      <c r="AN122" s="1">
        <v>0</v>
      </c>
    </row>
    <row r="123" spans="1:40" x14ac:dyDescent="0.3">
      <c r="A123" s="10">
        <v>45869</v>
      </c>
      <c r="B123" s="1">
        <v>60</v>
      </c>
      <c r="C123" s="1">
        <v>3</v>
      </c>
      <c r="D123" s="1">
        <v>0</v>
      </c>
      <c r="E123" s="1">
        <v>0</v>
      </c>
      <c r="F123" s="1">
        <v>0</v>
      </c>
      <c r="G123" s="1">
        <v>0</v>
      </c>
      <c r="H123" s="1">
        <v>39</v>
      </c>
      <c r="I123" s="1">
        <v>0</v>
      </c>
      <c r="J123" s="1"/>
      <c r="K123" s="1">
        <v>0</v>
      </c>
      <c r="L123" s="1">
        <v>7953</v>
      </c>
      <c r="M123" s="1">
        <v>0</v>
      </c>
      <c r="N123" s="1">
        <v>0</v>
      </c>
      <c r="O123" s="1">
        <v>0</v>
      </c>
      <c r="P123" s="1">
        <v>0</v>
      </c>
      <c r="Q123" s="1">
        <v>0</v>
      </c>
      <c r="R123" s="1">
        <v>60</v>
      </c>
      <c r="S123" s="1">
        <v>0</v>
      </c>
      <c r="T123" s="1">
        <v>0</v>
      </c>
      <c r="U123" s="1">
        <v>3</v>
      </c>
      <c r="V123" s="1">
        <v>0</v>
      </c>
      <c r="W123" s="1">
        <v>0</v>
      </c>
      <c r="X123" s="1">
        <v>0</v>
      </c>
      <c r="Y123" s="1">
        <v>0</v>
      </c>
      <c r="Z123" s="1">
        <v>0</v>
      </c>
      <c r="AA123" s="1">
        <v>0</v>
      </c>
      <c r="AB123" s="1">
        <v>0</v>
      </c>
      <c r="AC123" s="1">
        <v>0</v>
      </c>
      <c r="AD123" s="1">
        <v>0</v>
      </c>
      <c r="AE123" s="1">
        <v>0</v>
      </c>
      <c r="AF123" s="1">
        <v>0</v>
      </c>
      <c r="AG123" s="1">
        <v>0</v>
      </c>
      <c r="AH123" s="1">
        <v>0</v>
      </c>
      <c r="AI123" s="1">
        <v>0</v>
      </c>
      <c r="AJ123" s="1">
        <v>39</v>
      </c>
      <c r="AK123" s="1">
        <v>0</v>
      </c>
      <c r="AL123" s="1">
        <v>0</v>
      </c>
      <c r="AM123" s="1">
        <v>0</v>
      </c>
      <c r="AN123" s="1">
        <v>0</v>
      </c>
    </row>
    <row r="124" spans="1:40" x14ac:dyDescent="0.3">
      <c r="A124" s="10">
        <v>45870</v>
      </c>
      <c r="B124" s="1">
        <v>9</v>
      </c>
      <c r="C124" s="1">
        <v>0</v>
      </c>
      <c r="D124" s="1">
        <v>0</v>
      </c>
      <c r="E124" s="1">
        <v>0</v>
      </c>
      <c r="F124" s="1">
        <v>3</v>
      </c>
      <c r="G124" s="1">
        <v>3</v>
      </c>
      <c r="H124" s="1">
        <v>15</v>
      </c>
      <c r="I124" s="1">
        <v>0</v>
      </c>
      <c r="J124" s="1"/>
      <c r="K124" s="1">
        <v>0</v>
      </c>
      <c r="L124" s="1">
        <v>5799</v>
      </c>
      <c r="M124" s="1">
        <v>0</v>
      </c>
      <c r="N124" s="1">
        <v>0</v>
      </c>
      <c r="O124" s="1">
        <v>0</v>
      </c>
      <c r="P124" s="1">
        <v>0</v>
      </c>
      <c r="Q124" s="1">
        <v>0</v>
      </c>
      <c r="R124" s="1">
        <v>9</v>
      </c>
      <c r="S124" s="1">
        <v>0</v>
      </c>
      <c r="T124" s="1">
        <v>0</v>
      </c>
      <c r="U124" s="1">
        <v>0</v>
      </c>
      <c r="V124" s="1">
        <v>0</v>
      </c>
      <c r="W124" s="1">
        <v>0</v>
      </c>
      <c r="X124" s="1">
        <v>0</v>
      </c>
      <c r="Y124" s="1">
        <v>0</v>
      </c>
      <c r="Z124" s="1">
        <v>0</v>
      </c>
      <c r="AA124" s="1">
        <v>0</v>
      </c>
      <c r="AB124" s="1">
        <v>0</v>
      </c>
      <c r="AC124" s="1">
        <v>0</v>
      </c>
      <c r="AD124" s="1">
        <v>3</v>
      </c>
      <c r="AE124" s="1">
        <v>0</v>
      </c>
      <c r="AF124" s="1">
        <v>0</v>
      </c>
      <c r="AG124" s="1">
        <v>0</v>
      </c>
      <c r="AH124" s="1">
        <v>3</v>
      </c>
      <c r="AI124" s="1">
        <v>0</v>
      </c>
      <c r="AJ124" s="1">
        <v>15</v>
      </c>
      <c r="AK124" s="1">
        <v>0</v>
      </c>
      <c r="AL124" s="1">
        <v>0</v>
      </c>
      <c r="AM124" s="1">
        <v>0</v>
      </c>
      <c r="AN124" s="1">
        <v>0</v>
      </c>
    </row>
    <row r="125" spans="1:40" x14ac:dyDescent="0.3">
      <c r="A125" s="10">
        <v>45871</v>
      </c>
      <c r="B125" s="1">
        <v>27</v>
      </c>
      <c r="C125" s="1">
        <v>3</v>
      </c>
      <c r="D125" s="1">
        <v>0</v>
      </c>
      <c r="E125" s="1">
        <v>0</v>
      </c>
      <c r="F125" s="1">
        <v>3</v>
      </c>
      <c r="G125" s="1">
        <v>0</v>
      </c>
      <c r="H125" s="1">
        <v>24</v>
      </c>
      <c r="I125" s="1">
        <v>0</v>
      </c>
      <c r="J125" s="1"/>
      <c r="K125" s="1">
        <v>0</v>
      </c>
      <c r="L125" s="1">
        <v>5601</v>
      </c>
      <c r="M125" s="1">
        <v>0</v>
      </c>
      <c r="N125" s="1">
        <v>0</v>
      </c>
      <c r="O125" s="1">
        <v>0</v>
      </c>
      <c r="P125" s="1">
        <v>0</v>
      </c>
      <c r="Q125" s="1">
        <v>0</v>
      </c>
      <c r="R125" s="1">
        <v>27</v>
      </c>
      <c r="S125" s="1">
        <v>0</v>
      </c>
      <c r="T125" s="1">
        <v>0</v>
      </c>
      <c r="U125" s="1">
        <v>3</v>
      </c>
      <c r="V125" s="1">
        <v>0</v>
      </c>
      <c r="W125" s="1">
        <v>0</v>
      </c>
      <c r="X125" s="1">
        <v>0</v>
      </c>
      <c r="Y125" s="1">
        <v>0</v>
      </c>
      <c r="Z125" s="1">
        <v>0</v>
      </c>
      <c r="AA125" s="1">
        <v>0</v>
      </c>
      <c r="AB125" s="1">
        <v>0</v>
      </c>
      <c r="AC125" s="1">
        <v>0</v>
      </c>
      <c r="AD125" s="1">
        <v>3</v>
      </c>
      <c r="AE125" s="1">
        <v>0</v>
      </c>
      <c r="AF125" s="1">
        <v>0</v>
      </c>
      <c r="AG125" s="1">
        <v>0</v>
      </c>
      <c r="AH125" s="1">
        <v>0</v>
      </c>
      <c r="AI125" s="1">
        <v>0</v>
      </c>
      <c r="AJ125" s="1">
        <v>24</v>
      </c>
      <c r="AK125" s="1">
        <v>0</v>
      </c>
      <c r="AL125" s="1">
        <v>0</v>
      </c>
      <c r="AM125" s="1">
        <v>0</v>
      </c>
      <c r="AN125" s="1">
        <v>0</v>
      </c>
    </row>
    <row r="126" spans="1:40" x14ac:dyDescent="0.3">
      <c r="A126" s="10">
        <v>45872</v>
      </c>
      <c r="B126" s="1">
        <v>14</v>
      </c>
      <c r="C126" s="1">
        <v>2</v>
      </c>
      <c r="D126" s="1">
        <v>0</v>
      </c>
      <c r="E126" s="1">
        <v>0</v>
      </c>
      <c r="F126" s="1">
        <v>4</v>
      </c>
      <c r="G126" s="1">
        <v>0</v>
      </c>
      <c r="H126" s="1">
        <v>10</v>
      </c>
      <c r="I126" s="1">
        <v>0</v>
      </c>
      <c r="J126" s="1"/>
      <c r="K126" s="1">
        <v>0</v>
      </c>
      <c r="L126" s="1">
        <v>5637</v>
      </c>
      <c r="M126" s="1">
        <v>0</v>
      </c>
      <c r="N126" s="1">
        <v>0</v>
      </c>
      <c r="O126" s="1">
        <v>0</v>
      </c>
      <c r="P126" s="1">
        <v>0</v>
      </c>
      <c r="Q126" s="1">
        <v>0</v>
      </c>
      <c r="R126" s="1">
        <v>14</v>
      </c>
      <c r="S126" s="1">
        <v>0</v>
      </c>
      <c r="T126" s="1">
        <v>0</v>
      </c>
      <c r="U126" s="1">
        <v>2</v>
      </c>
      <c r="V126" s="1">
        <v>0</v>
      </c>
      <c r="W126" s="1">
        <v>0</v>
      </c>
      <c r="X126" s="1">
        <v>0</v>
      </c>
      <c r="Y126" s="1">
        <v>0</v>
      </c>
      <c r="Z126" s="1">
        <v>0</v>
      </c>
      <c r="AA126" s="1">
        <v>0</v>
      </c>
      <c r="AB126" s="1">
        <v>0</v>
      </c>
      <c r="AC126" s="1">
        <v>0</v>
      </c>
      <c r="AD126" s="1">
        <v>4</v>
      </c>
      <c r="AE126" s="1">
        <v>0</v>
      </c>
      <c r="AF126" s="1">
        <v>0</v>
      </c>
      <c r="AG126" s="1">
        <v>0</v>
      </c>
      <c r="AH126" s="1">
        <v>0</v>
      </c>
      <c r="AI126" s="1">
        <v>0</v>
      </c>
      <c r="AJ126" s="1">
        <v>10</v>
      </c>
      <c r="AK126" s="1">
        <v>0</v>
      </c>
      <c r="AL126" s="1">
        <v>0</v>
      </c>
      <c r="AM126" s="1">
        <v>0</v>
      </c>
      <c r="AN126" s="1">
        <v>0</v>
      </c>
    </row>
    <row r="127" spans="1:40" x14ac:dyDescent="0.3">
      <c r="A127" s="10">
        <v>45873</v>
      </c>
      <c r="B127" s="1">
        <v>25</v>
      </c>
      <c r="C127" s="1">
        <v>0</v>
      </c>
      <c r="D127" s="1">
        <v>0</v>
      </c>
      <c r="E127" s="1">
        <v>0</v>
      </c>
      <c r="F127" s="1">
        <v>10</v>
      </c>
      <c r="G127" s="1">
        <v>0</v>
      </c>
      <c r="H127" s="1">
        <v>17</v>
      </c>
      <c r="I127" s="1">
        <v>0</v>
      </c>
      <c r="J127" s="1"/>
      <c r="K127" s="1">
        <v>0</v>
      </c>
      <c r="L127" s="1">
        <v>4684</v>
      </c>
      <c r="M127" s="1">
        <v>0</v>
      </c>
      <c r="N127" s="1">
        <v>0</v>
      </c>
      <c r="O127" s="1">
        <v>0</v>
      </c>
      <c r="P127" s="1">
        <v>0</v>
      </c>
      <c r="Q127" s="1">
        <v>0</v>
      </c>
      <c r="R127" s="1">
        <v>25</v>
      </c>
      <c r="S127" s="1">
        <v>0</v>
      </c>
      <c r="T127" s="1">
        <v>0</v>
      </c>
      <c r="U127" s="1">
        <v>0</v>
      </c>
      <c r="V127" s="1">
        <v>0</v>
      </c>
      <c r="W127" s="1">
        <v>0</v>
      </c>
      <c r="X127" s="1">
        <v>0</v>
      </c>
      <c r="Y127" s="1">
        <v>0</v>
      </c>
      <c r="Z127" s="1">
        <v>0</v>
      </c>
      <c r="AA127" s="1">
        <v>0</v>
      </c>
      <c r="AB127" s="1">
        <v>0</v>
      </c>
      <c r="AC127" s="1">
        <v>0</v>
      </c>
      <c r="AD127" s="1">
        <v>9</v>
      </c>
      <c r="AE127" s="1">
        <v>1</v>
      </c>
      <c r="AF127" s="1">
        <v>0</v>
      </c>
      <c r="AG127" s="1">
        <v>0</v>
      </c>
      <c r="AH127" s="1">
        <v>0</v>
      </c>
      <c r="AI127" s="1">
        <v>0</v>
      </c>
      <c r="AJ127" s="1">
        <v>16</v>
      </c>
      <c r="AK127" s="1">
        <v>1</v>
      </c>
      <c r="AL127" s="1">
        <v>0</v>
      </c>
      <c r="AM127" s="1">
        <v>0</v>
      </c>
      <c r="AN127" s="1">
        <v>0</v>
      </c>
    </row>
    <row r="128" spans="1:40" x14ac:dyDescent="0.3">
      <c r="A128" s="10">
        <v>45874</v>
      </c>
      <c r="B128" s="1">
        <v>26</v>
      </c>
      <c r="C128" s="1">
        <v>0</v>
      </c>
      <c r="D128" s="1">
        <v>0</v>
      </c>
      <c r="E128" s="1">
        <v>0</v>
      </c>
      <c r="F128" s="1">
        <v>6</v>
      </c>
      <c r="G128" s="1">
        <v>0</v>
      </c>
      <c r="H128" s="1">
        <v>29</v>
      </c>
      <c r="I128" s="1">
        <v>0</v>
      </c>
      <c r="J128" s="1"/>
      <c r="K128" s="1">
        <v>0</v>
      </c>
      <c r="L128" s="1">
        <v>4052</v>
      </c>
      <c r="M128" s="1">
        <v>0</v>
      </c>
      <c r="N128" s="1">
        <v>0</v>
      </c>
      <c r="O128" s="1">
        <v>0</v>
      </c>
      <c r="P128" s="1">
        <v>0</v>
      </c>
      <c r="Q128" s="1">
        <v>0</v>
      </c>
      <c r="R128" s="1">
        <v>25</v>
      </c>
      <c r="S128" s="1">
        <v>1</v>
      </c>
      <c r="T128" s="1">
        <v>0</v>
      </c>
      <c r="U128" s="1">
        <v>0</v>
      </c>
      <c r="V128" s="1">
        <v>0</v>
      </c>
      <c r="W128" s="1">
        <v>0</v>
      </c>
      <c r="X128" s="1">
        <v>0</v>
      </c>
      <c r="Y128" s="1">
        <v>0</v>
      </c>
      <c r="Z128" s="1">
        <v>0</v>
      </c>
      <c r="AA128" s="1">
        <v>0</v>
      </c>
      <c r="AB128" s="1">
        <v>0</v>
      </c>
      <c r="AC128" s="1">
        <v>0</v>
      </c>
      <c r="AD128" s="1">
        <v>6</v>
      </c>
      <c r="AE128" s="1">
        <v>0</v>
      </c>
      <c r="AF128" s="1">
        <v>0</v>
      </c>
      <c r="AG128" s="1">
        <v>0</v>
      </c>
      <c r="AH128" s="1">
        <v>0</v>
      </c>
      <c r="AI128" s="1">
        <v>0</v>
      </c>
      <c r="AJ128" s="1">
        <v>25</v>
      </c>
      <c r="AK128" s="1">
        <v>4</v>
      </c>
      <c r="AL128" s="1">
        <v>0</v>
      </c>
      <c r="AM128" s="1">
        <v>0</v>
      </c>
      <c r="AN128" s="1">
        <v>0</v>
      </c>
    </row>
    <row r="129" spans="1:40" x14ac:dyDescent="0.3">
      <c r="A129" s="10">
        <v>45875</v>
      </c>
      <c r="B129" s="1">
        <v>12</v>
      </c>
      <c r="C129" s="1">
        <v>0</v>
      </c>
      <c r="D129" s="1">
        <v>0</v>
      </c>
      <c r="E129" s="1">
        <v>0</v>
      </c>
      <c r="F129" s="1">
        <v>15</v>
      </c>
      <c r="G129" s="1">
        <v>2</v>
      </c>
      <c r="H129" s="1">
        <v>17</v>
      </c>
      <c r="I129" s="1">
        <v>0</v>
      </c>
      <c r="J129" s="1"/>
      <c r="K129" s="1">
        <v>0</v>
      </c>
      <c r="L129" s="1">
        <v>3384</v>
      </c>
      <c r="M129" s="1">
        <v>0</v>
      </c>
      <c r="N129" s="1">
        <v>0</v>
      </c>
      <c r="O129" s="1">
        <v>0</v>
      </c>
      <c r="P129" s="1">
        <v>0</v>
      </c>
      <c r="Q129" s="1">
        <v>0</v>
      </c>
      <c r="R129" s="1">
        <v>12</v>
      </c>
      <c r="S129" s="1">
        <v>0</v>
      </c>
      <c r="T129" s="1">
        <v>0</v>
      </c>
      <c r="U129" s="1">
        <v>0</v>
      </c>
      <c r="V129" s="1">
        <v>0</v>
      </c>
      <c r="W129" s="1">
        <v>0</v>
      </c>
      <c r="X129" s="1">
        <v>0</v>
      </c>
      <c r="Y129" s="1">
        <v>0</v>
      </c>
      <c r="Z129" s="1">
        <v>0</v>
      </c>
      <c r="AA129" s="1">
        <v>0</v>
      </c>
      <c r="AB129" s="1">
        <v>0</v>
      </c>
      <c r="AC129" s="1">
        <v>0</v>
      </c>
      <c r="AD129" s="1">
        <v>13</v>
      </c>
      <c r="AE129" s="1">
        <v>2</v>
      </c>
      <c r="AF129" s="1">
        <v>0</v>
      </c>
      <c r="AG129" s="1">
        <v>0</v>
      </c>
      <c r="AH129" s="1">
        <v>2</v>
      </c>
      <c r="AI129" s="1">
        <v>0</v>
      </c>
      <c r="AJ129" s="1">
        <v>14</v>
      </c>
      <c r="AK129" s="1">
        <v>3</v>
      </c>
      <c r="AL129" s="1">
        <v>0</v>
      </c>
      <c r="AM129" s="1">
        <v>0</v>
      </c>
      <c r="AN129" s="1">
        <v>0</v>
      </c>
    </row>
    <row r="130" spans="1:40" x14ac:dyDescent="0.3">
      <c r="A130" s="10">
        <v>45876</v>
      </c>
      <c r="B130" s="1">
        <v>6</v>
      </c>
      <c r="C130" s="1">
        <v>4</v>
      </c>
      <c r="D130" s="1">
        <v>0</v>
      </c>
      <c r="E130" s="1">
        <v>0</v>
      </c>
      <c r="F130" s="1">
        <v>15</v>
      </c>
      <c r="G130" s="1">
        <v>0</v>
      </c>
      <c r="H130" s="1">
        <v>6</v>
      </c>
      <c r="I130" s="1">
        <v>0</v>
      </c>
      <c r="J130" s="1"/>
      <c r="K130" s="1">
        <v>0</v>
      </c>
      <c r="L130" s="1">
        <v>1306</v>
      </c>
      <c r="M130" s="1">
        <v>0</v>
      </c>
      <c r="N130" s="1">
        <v>0</v>
      </c>
      <c r="O130" s="1">
        <v>0</v>
      </c>
      <c r="P130" s="1">
        <v>0</v>
      </c>
      <c r="Q130" s="1">
        <v>0</v>
      </c>
      <c r="R130" s="1">
        <v>6</v>
      </c>
      <c r="S130" s="1">
        <v>0</v>
      </c>
      <c r="T130" s="1">
        <v>0</v>
      </c>
      <c r="U130" s="1">
        <v>4</v>
      </c>
      <c r="V130" s="1">
        <v>0</v>
      </c>
      <c r="W130" s="1">
        <v>0</v>
      </c>
      <c r="X130" s="1">
        <v>0</v>
      </c>
      <c r="Y130" s="1">
        <v>0</v>
      </c>
      <c r="Z130" s="1">
        <v>0</v>
      </c>
      <c r="AA130" s="1">
        <v>0</v>
      </c>
      <c r="AB130" s="1">
        <v>0</v>
      </c>
      <c r="AC130" s="1">
        <v>0</v>
      </c>
      <c r="AD130" s="1">
        <v>15</v>
      </c>
      <c r="AE130" s="1">
        <v>0</v>
      </c>
      <c r="AF130" s="1">
        <v>0</v>
      </c>
      <c r="AG130" s="1">
        <v>0</v>
      </c>
      <c r="AH130" s="1">
        <v>0</v>
      </c>
      <c r="AI130" s="1">
        <v>0</v>
      </c>
      <c r="AJ130" s="1">
        <v>5</v>
      </c>
      <c r="AK130" s="1">
        <v>1</v>
      </c>
      <c r="AL130" s="1">
        <v>0</v>
      </c>
      <c r="AM130" s="1">
        <v>0</v>
      </c>
      <c r="AN130" s="1">
        <v>0</v>
      </c>
    </row>
    <row r="131" spans="1:40" x14ac:dyDescent="0.3">
      <c r="A131" s="10">
        <v>45877</v>
      </c>
      <c r="B131" s="1">
        <v>19</v>
      </c>
      <c r="C131" s="1">
        <v>1</v>
      </c>
      <c r="D131" s="1">
        <v>0</v>
      </c>
      <c r="E131" s="1">
        <v>0</v>
      </c>
      <c r="F131" s="1">
        <v>44</v>
      </c>
      <c r="G131" s="1">
        <v>1</v>
      </c>
      <c r="H131" s="1">
        <v>30</v>
      </c>
      <c r="I131" s="1">
        <v>0</v>
      </c>
      <c r="J131" s="1"/>
      <c r="K131" s="1">
        <v>0</v>
      </c>
      <c r="L131" s="1">
        <v>2271</v>
      </c>
      <c r="M131" s="1">
        <v>0</v>
      </c>
      <c r="N131" s="1">
        <v>0</v>
      </c>
      <c r="O131" s="1">
        <v>312</v>
      </c>
      <c r="P131" s="1">
        <v>0</v>
      </c>
      <c r="Q131" s="1">
        <v>0</v>
      </c>
      <c r="R131" s="1">
        <v>19</v>
      </c>
      <c r="S131" s="1">
        <v>0</v>
      </c>
      <c r="T131" s="1">
        <v>0</v>
      </c>
      <c r="U131" s="1">
        <v>1</v>
      </c>
      <c r="V131" s="1">
        <v>0</v>
      </c>
      <c r="W131" s="1">
        <v>0</v>
      </c>
      <c r="X131" s="1">
        <v>0</v>
      </c>
      <c r="Y131" s="1">
        <v>0</v>
      </c>
      <c r="Z131" s="1">
        <v>0</v>
      </c>
      <c r="AA131" s="1">
        <v>0</v>
      </c>
      <c r="AB131" s="1">
        <v>0</v>
      </c>
      <c r="AC131" s="1">
        <v>0</v>
      </c>
      <c r="AD131" s="1">
        <v>40</v>
      </c>
      <c r="AE131" s="1">
        <v>4</v>
      </c>
      <c r="AF131" s="1">
        <v>0</v>
      </c>
      <c r="AG131" s="1">
        <v>1</v>
      </c>
      <c r="AH131" s="1">
        <v>0</v>
      </c>
      <c r="AI131" s="1">
        <v>0</v>
      </c>
      <c r="AJ131" s="1">
        <v>30</v>
      </c>
      <c r="AK131" s="1">
        <v>0</v>
      </c>
      <c r="AL131" s="1">
        <v>0</v>
      </c>
      <c r="AM131" s="1">
        <v>0</v>
      </c>
      <c r="AN131" s="1">
        <v>0</v>
      </c>
    </row>
    <row r="132" spans="1:40" x14ac:dyDescent="0.3">
      <c r="A132" s="10">
        <v>45878</v>
      </c>
      <c r="B132" s="1">
        <v>16</v>
      </c>
      <c r="C132" s="1">
        <v>1</v>
      </c>
      <c r="D132" s="1">
        <v>0</v>
      </c>
      <c r="E132" s="1">
        <v>0</v>
      </c>
      <c r="F132" s="1">
        <v>29</v>
      </c>
      <c r="G132" s="1">
        <v>4</v>
      </c>
      <c r="H132" s="1">
        <v>20</v>
      </c>
      <c r="I132" s="1">
        <v>0</v>
      </c>
      <c r="J132" s="1"/>
      <c r="K132" s="1">
        <v>0</v>
      </c>
      <c r="L132" s="1">
        <v>1576</v>
      </c>
      <c r="M132" s="1">
        <v>0</v>
      </c>
      <c r="N132" s="1">
        <v>0</v>
      </c>
      <c r="O132" s="1">
        <v>282</v>
      </c>
      <c r="P132" s="1">
        <v>0</v>
      </c>
      <c r="Q132" s="1">
        <v>0</v>
      </c>
      <c r="R132" s="1">
        <v>15</v>
      </c>
      <c r="S132" s="1">
        <v>1</v>
      </c>
      <c r="T132" s="1">
        <v>0</v>
      </c>
      <c r="U132" s="1">
        <v>0</v>
      </c>
      <c r="V132" s="1">
        <v>1</v>
      </c>
      <c r="W132" s="1">
        <v>0</v>
      </c>
      <c r="X132" s="1">
        <v>0</v>
      </c>
      <c r="Y132" s="1">
        <v>0</v>
      </c>
      <c r="Z132" s="1">
        <v>0</v>
      </c>
      <c r="AA132" s="1">
        <v>0</v>
      </c>
      <c r="AB132" s="1">
        <v>0</v>
      </c>
      <c r="AC132" s="1">
        <v>0</v>
      </c>
      <c r="AD132" s="1">
        <v>25</v>
      </c>
      <c r="AE132" s="1">
        <v>4</v>
      </c>
      <c r="AF132" s="1">
        <v>0</v>
      </c>
      <c r="AG132" s="1">
        <v>0</v>
      </c>
      <c r="AH132" s="1">
        <v>4</v>
      </c>
      <c r="AI132" s="1">
        <v>0</v>
      </c>
      <c r="AJ132" s="1">
        <v>20</v>
      </c>
      <c r="AK132" s="1">
        <v>0</v>
      </c>
      <c r="AL132" s="1">
        <v>0</v>
      </c>
      <c r="AM132" s="1">
        <v>0</v>
      </c>
      <c r="AN132" s="1">
        <v>0</v>
      </c>
    </row>
    <row r="133" spans="1:40" x14ac:dyDescent="0.3">
      <c r="A133" s="10">
        <v>45879</v>
      </c>
      <c r="B133" s="1">
        <v>21</v>
      </c>
      <c r="C133" s="1">
        <v>2</v>
      </c>
      <c r="D133" s="1">
        <v>0</v>
      </c>
      <c r="E133" s="1">
        <v>0</v>
      </c>
      <c r="F133" s="1">
        <v>25</v>
      </c>
      <c r="G133" s="1">
        <v>1</v>
      </c>
      <c r="H133" s="1">
        <v>18</v>
      </c>
      <c r="I133" s="1">
        <v>1</v>
      </c>
      <c r="J133" s="1"/>
      <c r="K133" s="1">
        <v>0</v>
      </c>
      <c r="L133" s="1">
        <v>1973</v>
      </c>
      <c r="M133" s="1">
        <v>0</v>
      </c>
      <c r="N133" s="1">
        <v>0</v>
      </c>
      <c r="O133" s="1">
        <v>0</v>
      </c>
      <c r="P133" s="1">
        <v>0</v>
      </c>
      <c r="Q133" s="1">
        <v>0</v>
      </c>
      <c r="R133" s="1">
        <v>21</v>
      </c>
      <c r="S133" s="1">
        <v>0</v>
      </c>
      <c r="T133" s="1">
        <v>0</v>
      </c>
      <c r="U133" s="1">
        <v>1</v>
      </c>
      <c r="V133" s="1">
        <v>1</v>
      </c>
      <c r="W133" s="1">
        <v>0</v>
      </c>
      <c r="X133" s="1">
        <v>0</v>
      </c>
      <c r="Y133" s="1">
        <v>0</v>
      </c>
      <c r="Z133" s="1">
        <v>0</v>
      </c>
      <c r="AA133" s="1">
        <v>0</v>
      </c>
      <c r="AB133" s="1">
        <v>0</v>
      </c>
      <c r="AC133" s="1">
        <v>0</v>
      </c>
      <c r="AD133" s="1">
        <v>22</v>
      </c>
      <c r="AE133" s="1">
        <v>3</v>
      </c>
      <c r="AF133" s="1">
        <v>0</v>
      </c>
      <c r="AG133" s="1">
        <v>0</v>
      </c>
      <c r="AH133" s="1">
        <v>1</v>
      </c>
      <c r="AI133" s="1">
        <v>0</v>
      </c>
      <c r="AJ133" s="1">
        <v>14</v>
      </c>
      <c r="AK133" s="1">
        <v>4</v>
      </c>
      <c r="AL133" s="1">
        <v>0</v>
      </c>
      <c r="AM133" s="1">
        <v>1</v>
      </c>
      <c r="AN133" s="1">
        <v>0</v>
      </c>
    </row>
    <row r="134" spans="1:40" x14ac:dyDescent="0.3">
      <c r="A134" s="10">
        <v>45880</v>
      </c>
      <c r="B134" s="1">
        <v>14</v>
      </c>
      <c r="C134" s="1">
        <v>4</v>
      </c>
      <c r="D134" s="1">
        <v>0</v>
      </c>
      <c r="E134" s="1">
        <v>0</v>
      </c>
      <c r="F134" s="1">
        <v>55</v>
      </c>
      <c r="G134" s="1">
        <v>3</v>
      </c>
      <c r="H134" s="1">
        <v>21</v>
      </c>
      <c r="I134" s="1">
        <v>0</v>
      </c>
      <c r="J134" s="1"/>
      <c r="K134" s="1">
        <v>0</v>
      </c>
      <c r="L134" s="1">
        <v>1279</v>
      </c>
      <c r="M134" s="1">
        <v>0</v>
      </c>
      <c r="N134" s="1">
        <v>0</v>
      </c>
      <c r="O134" s="1">
        <v>0</v>
      </c>
      <c r="P134" s="1">
        <v>0</v>
      </c>
      <c r="Q134" s="1">
        <v>0</v>
      </c>
      <c r="R134" s="1">
        <v>13</v>
      </c>
      <c r="S134" s="1">
        <v>1</v>
      </c>
      <c r="T134" s="1">
        <v>0</v>
      </c>
      <c r="U134" s="1">
        <v>4</v>
      </c>
      <c r="V134" s="1">
        <v>0</v>
      </c>
      <c r="W134" s="1">
        <v>0</v>
      </c>
      <c r="X134" s="1">
        <v>0</v>
      </c>
      <c r="Y134" s="1">
        <v>0</v>
      </c>
      <c r="Z134" s="1">
        <v>0</v>
      </c>
      <c r="AA134" s="1">
        <v>0</v>
      </c>
      <c r="AB134" s="1">
        <v>0</v>
      </c>
      <c r="AC134" s="1">
        <v>0</v>
      </c>
      <c r="AD134" s="1">
        <v>52</v>
      </c>
      <c r="AE134" s="1">
        <v>3</v>
      </c>
      <c r="AF134" s="1">
        <v>0</v>
      </c>
      <c r="AG134" s="1">
        <v>0</v>
      </c>
      <c r="AH134" s="1">
        <v>3</v>
      </c>
      <c r="AI134" s="1">
        <v>0</v>
      </c>
      <c r="AJ134" s="1">
        <v>18</v>
      </c>
      <c r="AK134" s="1">
        <v>3</v>
      </c>
      <c r="AL134" s="1">
        <v>0</v>
      </c>
      <c r="AM134" s="1">
        <v>0</v>
      </c>
      <c r="AN134" s="1">
        <v>0</v>
      </c>
    </row>
    <row r="135" spans="1:40" x14ac:dyDescent="0.3">
      <c r="A135" s="10">
        <v>45881</v>
      </c>
      <c r="B135" s="1">
        <v>6</v>
      </c>
      <c r="C135" s="1">
        <v>0</v>
      </c>
      <c r="D135" s="1">
        <v>0</v>
      </c>
      <c r="E135" s="1">
        <v>0</v>
      </c>
      <c r="F135" s="1">
        <v>29</v>
      </c>
      <c r="G135" s="1">
        <v>0</v>
      </c>
      <c r="H135" s="1">
        <v>13</v>
      </c>
      <c r="I135" s="1">
        <v>0</v>
      </c>
      <c r="J135" s="1"/>
      <c r="K135" s="1">
        <v>0</v>
      </c>
      <c r="L135" s="1">
        <v>554</v>
      </c>
      <c r="M135" s="1">
        <v>0</v>
      </c>
      <c r="N135" s="1">
        <v>0</v>
      </c>
      <c r="O135" s="1">
        <v>92</v>
      </c>
      <c r="P135" s="1">
        <v>0</v>
      </c>
      <c r="Q135" s="1">
        <v>0</v>
      </c>
      <c r="R135" s="1">
        <v>6</v>
      </c>
      <c r="S135" s="1">
        <v>0</v>
      </c>
      <c r="T135" s="1">
        <v>0</v>
      </c>
      <c r="U135" s="1">
        <v>0</v>
      </c>
      <c r="V135" s="1">
        <v>0</v>
      </c>
      <c r="W135" s="1">
        <v>0</v>
      </c>
      <c r="X135" s="1">
        <v>0</v>
      </c>
      <c r="Y135" s="1">
        <v>0</v>
      </c>
      <c r="Z135" s="1">
        <v>0</v>
      </c>
      <c r="AA135" s="1">
        <v>0</v>
      </c>
      <c r="AB135" s="1">
        <v>0</v>
      </c>
      <c r="AC135" s="1">
        <v>0</v>
      </c>
      <c r="AD135" s="1">
        <v>27</v>
      </c>
      <c r="AE135" s="1">
        <v>2</v>
      </c>
      <c r="AF135" s="1">
        <v>0</v>
      </c>
      <c r="AG135" s="1">
        <v>0</v>
      </c>
      <c r="AH135" s="1">
        <v>0</v>
      </c>
      <c r="AI135" s="1">
        <v>0</v>
      </c>
      <c r="AJ135" s="1">
        <v>13</v>
      </c>
      <c r="AK135" s="1">
        <v>0</v>
      </c>
      <c r="AL135" s="1">
        <v>0</v>
      </c>
      <c r="AM135" s="1">
        <v>0</v>
      </c>
      <c r="AN135" s="1">
        <v>0</v>
      </c>
    </row>
    <row r="136" spans="1:40" x14ac:dyDescent="0.3">
      <c r="A136" s="10">
        <v>45882</v>
      </c>
      <c r="B136" s="1">
        <v>7</v>
      </c>
      <c r="C136" s="1">
        <v>2</v>
      </c>
      <c r="D136" s="1">
        <v>0</v>
      </c>
      <c r="E136" s="1">
        <v>0</v>
      </c>
      <c r="F136" s="1">
        <v>47</v>
      </c>
      <c r="G136" s="1">
        <v>5</v>
      </c>
      <c r="H136" s="1">
        <v>10</v>
      </c>
      <c r="I136" s="1">
        <v>0</v>
      </c>
      <c r="J136" s="1"/>
      <c r="K136" s="1">
        <v>0</v>
      </c>
      <c r="L136" s="1">
        <v>320</v>
      </c>
      <c r="M136" s="1">
        <v>0</v>
      </c>
      <c r="N136" s="1">
        <v>0</v>
      </c>
      <c r="O136" s="1">
        <v>74</v>
      </c>
      <c r="P136" s="1">
        <v>0</v>
      </c>
      <c r="Q136" s="1">
        <v>0</v>
      </c>
      <c r="R136" s="1">
        <v>6</v>
      </c>
      <c r="S136" s="1">
        <v>1</v>
      </c>
      <c r="T136" s="1">
        <v>0</v>
      </c>
      <c r="U136" s="1">
        <v>2</v>
      </c>
      <c r="V136" s="1">
        <v>0</v>
      </c>
      <c r="W136" s="1">
        <v>0</v>
      </c>
      <c r="X136" s="1">
        <v>0</v>
      </c>
      <c r="Y136" s="1">
        <v>0</v>
      </c>
      <c r="Z136" s="1">
        <v>0</v>
      </c>
      <c r="AA136" s="1">
        <v>0</v>
      </c>
      <c r="AB136" s="1">
        <v>0</v>
      </c>
      <c r="AC136" s="1">
        <v>0</v>
      </c>
      <c r="AD136" s="1">
        <v>39</v>
      </c>
      <c r="AE136" s="1">
        <v>8</v>
      </c>
      <c r="AF136" s="1">
        <v>0</v>
      </c>
      <c r="AG136" s="1">
        <v>3</v>
      </c>
      <c r="AH136" s="1">
        <v>2</v>
      </c>
      <c r="AI136" s="1">
        <v>0</v>
      </c>
      <c r="AJ136" s="1">
        <v>9</v>
      </c>
      <c r="AK136" s="1">
        <v>1</v>
      </c>
      <c r="AL136" s="1">
        <v>0</v>
      </c>
      <c r="AM136" s="1">
        <v>0</v>
      </c>
      <c r="AN136" s="1">
        <v>0</v>
      </c>
    </row>
    <row r="137" spans="1:40" x14ac:dyDescent="0.3">
      <c r="A137" s="10">
        <v>45883</v>
      </c>
      <c r="B137" s="1">
        <v>7</v>
      </c>
      <c r="C137" s="1">
        <v>3</v>
      </c>
      <c r="D137" s="1">
        <v>0</v>
      </c>
      <c r="E137" s="1">
        <v>0</v>
      </c>
      <c r="F137" s="1">
        <v>44</v>
      </c>
      <c r="G137" s="1">
        <v>6</v>
      </c>
      <c r="H137" s="1">
        <v>20</v>
      </c>
      <c r="I137" s="1">
        <v>0</v>
      </c>
      <c r="J137" s="1"/>
      <c r="K137" s="1">
        <v>0</v>
      </c>
      <c r="L137" s="1">
        <v>299</v>
      </c>
      <c r="M137" s="1">
        <v>0</v>
      </c>
      <c r="N137" s="1">
        <v>0</v>
      </c>
      <c r="O137" s="1">
        <v>0</v>
      </c>
      <c r="P137" s="1">
        <v>0</v>
      </c>
      <c r="Q137" s="1">
        <v>0</v>
      </c>
      <c r="R137" s="1">
        <v>6</v>
      </c>
      <c r="S137" s="1">
        <v>1</v>
      </c>
      <c r="T137" s="1">
        <v>0</v>
      </c>
      <c r="U137" s="1">
        <v>3</v>
      </c>
      <c r="V137" s="1">
        <v>0</v>
      </c>
      <c r="W137" s="1">
        <v>0</v>
      </c>
      <c r="X137" s="1">
        <v>0</v>
      </c>
      <c r="Y137" s="1">
        <v>0</v>
      </c>
      <c r="Z137" s="1">
        <v>0</v>
      </c>
      <c r="AA137" s="1">
        <v>0</v>
      </c>
      <c r="AB137" s="1">
        <v>0</v>
      </c>
      <c r="AC137" s="1">
        <v>0</v>
      </c>
      <c r="AD137" s="1">
        <v>36</v>
      </c>
      <c r="AE137" s="1">
        <v>8</v>
      </c>
      <c r="AF137" s="1">
        <v>0</v>
      </c>
      <c r="AG137" s="1">
        <v>2</v>
      </c>
      <c r="AH137" s="1">
        <v>4</v>
      </c>
      <c r="AI137" s="1">
        <v>0</v>
      </c>
      <c r="AJ137" s="1">
        <v>16</v>
      </c>
      <c r="AK137" s="1">
        <v>4</v>
      </c>
      <c r="AL137" s="1">
        <v>0</v>
      </c>
      <c r="AM137" s="1">
        <v>0</v>
      </c>
      <c r="AN137" s="1">
        <v>0</v>
      </c>
    </row>
    <row r="138" spans="1:40" x14ac:dyDescent="0.3">
      <c r="A138" s="10">
        <v>45884</v>
      </c>
      <c r="B138" s="1">
        <v>17</v>
      </c>
      <c r="C138" s="1">
        <v>2</v>
      </c>
      <c r="D138" s="1">
        <v>0</v>
      </c>
      <c r="E138" s="1">
        <v>0</v>
      </c>
      <c r="F138" s="1">
        <v>68</v>
      </c>
      <c r="G138" s="1">
        <v>6</v>
      </c>
      <c r="H138" s="1">
        <v>19</v>
      </c>
      <c r="I138" s="1">
        <v>0</v>
      </c>
      <c r="J138" s="1"/>
      <c r="K138" s="1">
        <v>0</v>
      </c>
      <c r="L138" s="1">
        <v>894</v>
      </c>
      <c r="M138" s="1">
        <v>0</v>
      </c>
      <c r="N138" s="1">
        <v>0</v>
      </c>
      <c r="O138" s="1">
        <v>0</v>
      </c>
      <c r="P138" s="1">
        <v>0</v>
      </c>
      <c r="Q138" s="1">
        <v>0</v>
      </c>
      <c r="R138" s="1">
        <v>15</v>
      </c>
      <c r="S138" s="1">
        <v>2</v>
      </c>
      <c r="T138" s="1">
        <v>0</v>
      </c>
      <c r="U138" s="1">
        <v>2</v>
      </c>
      <c r="V138" s="1">
        <v>0</v>
      </c>
      <c r="W138" s="1">
        <v>0</v>
      </c>
      <c r="X138" s="1">
        <v>0</v>
      </c>
      <c r="Y138" s="1">
        <v>0</v>
      </c>
      <c r="Z138" s="1">
        <v>0</v>
      </c>
      <c r="AA138" s="1">
        <v>0</v>
      </c>
      <c r="AB138" s="1">
        <v>0</v>
      </c>
      <c r="AC138" s="1">
        <v>0</v>
      </c>
      <c r="AD138" s="1">
        <v>56</v>
      </c>
      <c r="AE138" s="1">
        <v>12</v>
      </c>
      <c r="AF138" s="1">
        <v>0</v>
      </c>
      <c r="AG138" s="1">
        <v>0</v>
      </c>
      <c r="AH138" s="1">
        <v>6</v>
      </c>
      <c r="AI138" s="1">
        <v>0</v>
      </c>
      <c r="AJ138" s="1">
        <v>16</v>
      </c>
      <c r="AK138" s="1">
        <v>3</v>
      </c>
      <c r="AL138" s="1">
        <v>0</v>
      </c>
      <c r="AM138" s="1">
        <v>0</v>
      </c>
      <c r="AN138" s="1">
        <v>0</v>
      </c>
    </row>
    <row r="139" spans="1:40" x14ac:dyDescent="0.3">
      <c r="A139" s="10">
        <v>45885</v>
      </c>
      <c r="B139" s="1">
        <v>23</v>
      </c>
      <c r="C139" s="1">
        <v>0</v>
      </c>
      <c r="D139" s="1">
        <v>0</v>
      </c>
      <c r="E139" s="1">
        <v>0</v>
      </c>
      <c r="F139" s="1">
        <v>52</v>
      </c>
      <c r="G139" s="1">
        <v>7</v>
      </c>
      <c r="H139" s="1">
        <v>10</v>
      </c>
      <c r="I139" s="1">
        <v>0</v>
      </c>
      <c r="J139" s="1"/>
      <c r="K139" s="1">
        <v>0</v>
      </c>
      <c r="L139" s="1">
        <v>1443</v>
      </c>
      <c r="M139" s="1">
        <v>0</v>
      </c>
      <c r="N139" s="1">
        <v>0</v>
      </c>
      <c r="O139" s="1">
        <v>0</v>
      </c>
      <c r="P139" s="1">
        <v>0</v>
      </c>
      <c r="Q139" s="1">
        <v>0</v>
      </c>
      <c r="R139" s="1">
        <v>22</v>
      </c>
      <c r="S139" s="1">
        <v>1</v>
      </c>
      <c r="T139" s="1">
        <v>0</v>
      </c>
      <c r="U139" s="1">
        <v>0</v>
      </c>
      <c r="V139" s="1">
        <v>0</v>
      </c>
      <c r="W139" s="1">
        <v>0</v>
      </c>
      <c r="X139" s="1">
        <v>0</v>
      </c>
      <c r="Y139" s="1">
        <v>0</v>
      </c>
      <c r="Z139" s="1">
        <v>0</v>
      </c>
      <c r="AA139" s="1">
        <v>0</v>
      </c>
      <c r="AB139" s="1">
        <v>0</v>
      </c>
      <c r="AC139" s="1">
        <v>0</v>
      </c>
      <c r="AD139" s="1">
        <v>46</v>
      </c>
      <c r="AE139" s="1">
        <v>6</v>
      </c>
      <c r="AF139" s="1">
        <v>0</v>
      </c>
      <c r="AG139" s="1">
        <v>1</v>
      </c>
      <c r="AH139" s="1">
        <v>6</v>
      </c>
      <c r="AI139" s="1">
        <v>0</v>
      </c>
      <c r="AJ139" s="1">
        <v>6</v>
      </c>
      <c r="AK139" s="1">
        <v>4</v>
      </c>
      <c r="AL139" s="1">
        <v>0</v>
      </c>
      <c r="AM139" s="1">
        <v>0</v>
      </c>
      <c r="AN139" s="1">
        <v>0</v>
      </c>
    </row>
    <row r="140" spans="1:40" x14ac:dyDescent="0.3">
      <c r="A140" s="10">
        <v>45886</v>
      </c>
      <c r="B140" s="1">
        <v>28</v>
      </c>
      <c r="C140" s="1">
        <v>3</v>
      </c>
      <c r="D140" s="1">
        <v>0</v>
      </c>
      <c r="E140" s="1">
        <v>0</v>
      </c>
      <c r="F140" s="1">
        <v>96</v>
      </c>
      <c r="G140" s="1">
        <v>8</v>
      </c>
      <c r="H140" s="1">
        <v>9</v>
      </c>
      <c r="I140" s="1">
        <v>0</v>
      </c>
      <c r="J140" s="1"/>
      <c r="K140" s="1">
        <v>0</v>
      </c>
      <c r="L140" s="1">
        <v>1762</v>
      </c>
      <c r="M140" s="1">
        <v>0</v>
      </c>
      <c r="N140" s="1">
        <v>0</v>
      </c>
      <c r="O140" s="1">
        <v>35</v>
      </c>
      <c r="P140" s="1">
        <v>0</v>
      </c>
      <c r="Q140" s="1">
        <v>0</v>
      </c>
      <c r="R140" s="1">
        <v>23</v>
      </c>
      <c r="S140" s="1">
        <v>5</v>
      </c>
      <c r="T140" s="1">
        <v>0</v>
      </c>
      <c r="U140" s="1">
        <v>3</v>
      </c>
      <c r="V140" s="1">
        <v>0</v>
      </c>
      <c r="W140" s="1">
        <v>0</v>
      </c>
      <c r="X140" s="1">
        <v>0</v>
      </c>
      <c r="Y140" s="1">
        <v>0</v>
      </c>
      <c r="Z140" s="1">
        <v>0</v>
      </c>
      <c r="AA140" s="1">
        <v>0</v>
      </c>
      <c r="AB140" s="1">
        <v>0</v>
      </c>
      <c r="AC140" s="1">
        <v>0</v>
      </c>
      <c r="AD140" s="1">
        <v>90</v>
      </c>
      <c r="AE140" s="1">
        <v>6</v>
      </c>
      <c r="AF140" s="1">
        <v>0</v>
      </c>
      <c r="AG140" s="1">
        <v>0</v>
      </c>
      <c r="AH140" s="1">
        <v>8</v>
      </c>
      <c r="AI140" s="1">
        <v>0</v>
      </c>
      <c r="AJ140" s="1">
        <v>6</v>
      </c>
      <c r="AK140" s="1">
        <v>3</v>
      </c>
      <c r="AL140" s="1">
        <v>0</v>
      </c>
      <c r="AM140" s="1">
        <v>0</v>
      </c>
      <c r="AN140" s="1">
        <v>0</v>
      </c>
    </row>
    <row r="141" spans="1:40" x14ac:dyDescent="0.3">
      <c r="A141" s="10">
        <v>45887</v>
      </c>
      <c r="B141" s="1">
        <v>74</v>
      </c>
      <c r="C141" s="1">
        <v>11</v>
      </c>
      <c r="D141" s="1">
        <v>0</v>
      </c>
      <c r="E141" s="1">
        <v>0</v>
      </c>
      <c r="F141" s="1">
        <v>185</v>
      </c>
      <c r="G141" s="1">
        <v>17</v>
      </c>
      <c r="H141" s="1">
        <v>7</v>
      </c>
      <c r="I141" s="1">
        <v>0</v>
      </c>
      <c r="J141" s="1"/>
      <c r="K141" s="1">
        <v>0</v>
      </c>
      <c r="L141" s="1">
        <v>1448</v>
      </c>
      <c r="M141" s="1">
        <v>0</v>
      </c>
      <c r="N141" s="1">
        <v>0</v>
      </c>
      <c r="O141" s="1">
        <v>7</v>
      </c>
      <c r="P141" s="1">
        <v>0</v>
      </c>
      <c r="Q141" s="1">
        <v>0</v>
      </c>
      <c r="R141" s="1">
        <v>60</v>
      </c>
      <c r="S141" s="1">
        <v>14</v>
      </c>
      <c r="T141" s="1">
        <v>0</v>
      </c>
      <c r="U141" s="1">
        <v>11</v>
      </c>
      <c r="V141" s="1">
        <v>0</v>
      </c>
      <c r="W141" s="1">
        <v>0</v>
      </c>
      <c r="X141" s="1">
        <v>0</v>
      </c>
      <c r="Y141" s="1">
        <v>0</v>
      </c>
      <c r="Z141" s="1">
        <v>0</v>
      </c>
      <c r="AA141" s="1">
        <v>0</v>
      </c>
      <c r="AB141" s="1">
        <v>0</v>
      </c>
      <c r="AC141" s="1">
        <v>0</v>
      </c>
      <c r="AD141" s="1">
        <v>167</v>
      </c>
      <c r="AE141" s="1">
        <v>18</v>
      </c>
      <c r="AF141" s="1">
        <v>0</v>
      </c>
      <c r="AG141" s="1">
        <v>8</v>
      </c>
      <c r="AH141" s="1">
        <v>9</v>
      </c>
      <c r="AI141" s="1">
        <v>0</v>
      </c>
      <c r="AJ141" s="1">
        <v>7</v>
      </c>
      <c r="AK141" s="1">
        <v>0</v>
      </c>
      <c r="AL141" s="1">
        <v>0</v>
      </c>
      <c r="AM141" s="1">
        <v>0</v>
      </c>
      <c r="AN141" s="1">
        <v>0</v>
      </c>
    </row>
    <row r="142" spans="1:40" x14ac:dyDescent="0.3">
      <c r="A142" s="10">
        <v>45888</v>
      </c>
      <c r="B142" s="1">
        <v>103</v>
      </c>
      <c r="C142" s="1">
        <v>11</v>
      </c>
      <c r="D142" s="1">
        <v>0</v>
      </c>
      <c r="E142" s="1">
        <v>0</v>
      </c>
      <c r="F142" s="1">
        <v>140</v>
      </c>
      <c r="G142" s="1">
        <v>16</v>
      </c>
      <c r="H142" s="1">
        <v>10</v>
      </c>
      <c r="I142" s="1">
        <v>0</v>
      </c>
      <c r="J142" s="1"/>
      <c r="K142" s="1">
        <v>0</v>
      </c>
      <c r="L142" s="1">
        <v>1573</v>
      </c>
      <c r="M142" s="1">
        <v>0</v>
      </c>
      <c r="N142" s="1">
        <v>0</v>
      </c>
      <c r="O142" s="1">
        <v>0</v>
      </c>
      <c r="P142" s="1">
        <v>0</v>
      </c>
      <c r="Q142" s="1">
        <v>0</v>
      </c>
      <c r="R142" s="1">
        <v>88</v>
      </c>
      <c r="S142" s="1">
        <v>15</v>
      </c>
      <c r="T142" s="1">
        <v>0</v>
      </c>
      <c r="U142" s="1">
        <v>9</v>
      </c>
      <c r="V142" s="1">
        <v>2</v>
      </c>
      <c r="W142" s="1">
        <v>0</v>
      </c>
      <c r="X142" s="1">
        <v>0</v>
      </c>
      <c r="Y142" s="1">
        <v>0</v>
      </c>
      <c r="Z142" s="1">
        <v>0</v>
      </c>
      <c r="AA142" s="1">
        <v>0</v>
      </c>
      <c r="AB142" s="1">
        <v>0</v>
      </c>
      <c r="AC142" s="1">
        <v>0</v>
      </c>
      <c r="AD142" s="1">
        <v>126</v>
      </c>
      <c r="AE142" s="1">
        <v>14</v>
      </c>
      <c r="AF142" s="1">
        <v>0</v>
      </c>
      <c r="AG142" s="1">
        <v>6</v>
      </c>
      <c r="AH142" s="1">
        <v>10</v>
      </c>
      <c r="AI142" s="1">
        <v>0</v>
      </c>
      <c r="AJ142" s="1">
        <v>7</v>
      </c>
      <c r="AK142" s="1">
        <v>3</v>
      </c>
      <c r="AL142" s="1">
        <v>0</v>
      </c>
      <c r="AM142" s="1">
        <v>0</v>
      </c>
      <c r="AN142" s="1">
        <v>0</v>
      </c>
    </row>
    <row r="143" spans="1:40" x14ac:dyDescent="0.3">
      <c r="A143" s="10">
        <v>45889</v>
      </c>
      <c r="B143" s="1">
        <v>183</v>
      </c>
      <c r="C143" s="1">
        <v>12</v>
      </c>
      <c r="D143" s="1">
        <v>0</v>
      </c>
      <c r="E143" s="1">
        <v>0</v>
      </c>
      <c r="F143" s="1">
        <v>276</v>
      </c>
      <c r="G143" s="1">
        <v>47</v>
      </c>
      <c r="H143" s="1">
        <v>3</v>
      </c>
      <c r="I143" s="1">
        <v>0</v>
      </c>
      <c r="J143" s="1"/>
      <c r="K143" s="1">
        <v>0</v>
      </c>
      <c r="L143" s="1">
        <v>1778</v>
      </c>
      <c r="M143" s="1">
        <v>0</v>
      </c>
      <c r="N143" s="1">
        <v>0</v>
      </c>
      <c r="O143" s="1">
        <v>180</v>
      </c>
      <c r="P143" s="1">
        <v>0</v>
      </c>
      <c r="Q143" s="1">
        <v>0</v>
      </c>
      <c r="R143" s="1">
        <v>142</v>
      </c>
      <c r="S143" s="1">
        <v>41</v>
      </c>
      <c r="T143" s="1">
        <v>0</v>
      </c>
      <c r="U143" s="1">
        <v>12</v>
      </c>
      <c r="V143" s="1">
        <v>0</v>
      </c>
      <c r="W143" s="1">
        <v>0</v>
      </c>
      <c r="X143" s="1">
        <v>0</v>
      </c>
      <c r="Y143" s="1">
        <v>0</v>
      </c>
      <c r="Z143" s="1">
        <v>0</v>
      </c>
      <c r="AA143" s="1">
        <v>0</v>
      </c>
      <c r="AB143" s="1">
        <v>0</v>
      </c>
      <c r="AC143" s="1">
        <v>0</v>
      </c>
      <c r="AD143" s="1">
        <v>251</v>
      </c>
      <c r="AE143" s="1">
        <v>25</v>
      </c>
      <c r="AF143" s="1">
        <v>0</v>
      </c>
      <c r="AG143" s="1">
        <v>11</v>
      </c>
      <c r="AH143" s="1">
        <v>36</v>
      </c>
      <c r="AI143" s="1">
        <v>0</v>
      </c>
      <c r="AJ143" s="1">
        <v>3</v>
      </c>
      <c r="AK143" s="1">
        <v>0</v>
      </c>
      <c r="AL143" s="1">
        <v>0</v>
      </c>
      <c r="AM143" s="1">
        <v>0</v>
      </c>
      <c r="AN143" s="1">
        <v>0</v>
      </c>
    </row>
    <row r="144" spans="1:40" x14ac:dyDescent="0.3">
      <c r="A144" s="10">
        <v>45890</v>
      </c>
      <c r="B144" s="1">
        <v>154</v>
      </c>
      <c r="C144" s="1">
        <v>50</v>
      </c>
      <c r="D144" s="1">
        <v>0</v>
      </c>
      <c r="E144" s="1">
        <v>0</v>
      </c>
      <c r="F144" s="1">
        <v>674</v>
      </c>
      <c r="G144" s="1">
        <v>78</v>
      </c>
      <c r="H144" s="1">
        <v>7</v>
      </c>
      <c r="I144" s="1">
        <v>0</v>
      </c>
      <c r="J144" s="1"/>
      <c r="K144" s="1">
        <v>0</v>
      </c>
      <c r="L144" s="1">
        <v>2150</v>
      </c>
      <c r="M144" s="1">
        <v>0</v>
      </c>
      <c r="N144" s="1">
        <v>0</v>
      </c>
      <c r="O144" s="1">
        <v>0</v>
      </c>
      <c r="P144" s="1">
        <v>0</v>
      </c>
      <c r="Q144" s="1">
        <v>0</v>
      </c>
      <c r="R144" s="1">
        <v>108</v>
      </c>
      <c r="S144" s="1">
        <v>46</v>
      </c>
      <c r="T144" s="1">
        <v>0</v>
      </c>
      <c r="U144" s="1">
        <v>45</v>
      </c>
      <c r="V144" s="1">
        <v>5</v>
      </c>
      <c r="W144" s="1">
        <v>0</v>
      </c>
      <c r="X144" s="1">
        <v>0</v>
      </c>
      <c r="Y144" s="1">
        <v>0</v>
      </c>
      <c r="Z144" s="1">
        <v>0</v>
      </c>
      <c r="AA144" s="1">
        <v>0</v>
      </c>
      <c r="AB144" s="1">
        <v>0</v>
      </c>
      <c r="AC144" s="1">
        <v>0</v>
      </c>
      <c r="AD144" s="1">
        <v>595</v>
      </c>
      <c r="AE144" s="1">
        <v>79</v>
      </c>
      <c r="AF144" s="1">
        <v>0</v>
      </c>
      <c r="AG144" s="1">
        <v>14</v>
      </c>
      <c r="AH144" s="1">
        <v>64</v>
      </c>
      <c r="AI144" s="1">
        <v>0</v>
      </c>
      <c r="AJ144" s="1">
        <v>4</v>
      </c>
      <c r="AK144" s="1">
        <v>3</v>
      </c>
      <c r="AL144" s="1">
        <v>0</v>
      </c>
      <c r="AM144" s="1">
        <v>0</v>
      </c>
      <c r="AN144" s="1">
        <v>0</v>
      </c>
    </row>
    <row r="145" spans="1:40" x14ac:dyDescent="0.3">
      <c r="A145" s="10">
        <v>45891</v>
      </c>
      <c r="B145" s="1">
        <v>167</v>
      </c>
      <c r="C145" s="1">
        <v>44</v>
      </c>
      <c r="D145" s="1">
        <v>0</v>
      </c>
      <c r="E145" s="1">
        <v>0</v>
      </c>
      <c r="F145" s="1">
        <v>437</v>
      </c>
      <c r="G145" s="1">
        <v>81</v>
      </c>
      <c r="H145" s="1">
        <v>11</v>
      </c>
      <c r="I145" s="1">
        <v>0</v>
      </c>
      <c r="J145" s="1"/>
      <c r="K145" s="1">
        <v>0</v>
      </c>
      <c r="L145" s="1">
        <v>1787</v>
      </c>
      <c r="M145" s="1">
        <v>0</v>
      </c>
      <c r="N145" s="1">
        <v>0</v>
      </c>
      <c r="O145" s="1">
        <v>0</v>
      </c>
      <c r="P145" s="1">
        <v>0</v>
      </c>
      <c r="Q145" s="1">
        <v>0</v>
      </c>
      <c r="R145" s="1">
        <v>117</v>
      </c>
      <c r="S145" s="1">
        <v>50</v>
      </c>
      <c r="T145" s="1">
        <v>0</v>
      </c>
      <c r="U145" s="1">
        <v>40</v>
      </c>
      <c r="V145" s="1">
        <v>4</v>
      </c>
      <c r="W145" s="1">
        <v>0</v>
      </c>
      <c r="X145" s="1">
        <v>0</v>
      </c>
      <c r="Y145" s="1">
        <v>0</v>
      </c>
      <c r="Z145" s="1">
        <v>0</v>
      </c>
      <c r="AA145" s="1">
        <v>0</v>
      </c>
      <c r="AB145" s="1">
        <v>0</v>
      </c>
      <c r="AC145" s="1">
        <v>0</v>
      </c>
      <c r="AD145" s="1">
        <v>383</v>
      </c>
      <c r="AE145" s="1">
        <v>54</v>
      </c>
      <c r="AF145" s="1">
        <v>0</v>
      </c>
      <c r="AG145" s="1">
        <v>9</v>
      </c>
      <c r="AH145" s="1">
        <v>72</v>
      </c>
      <c r="AI145" s="1">
        <v>0</v>
      </c>
      <c r="AJ145" s="1">
        <v>9</v>
      </c>
      <c r="AK145" s="1">
        <v>2</v>
      </c>
      <c r="AL145" s="1">
        <v>0</v>
      </c>
      <c r="AM145" s="1">
        <v>0</v>
      </c>
      <c r="AN145" s="1">
        <v>0</v>
      </c>
    </row>
    <row r="146" spans="1:40" x14ac:dyDescent="0.3">
      <c r="A146" s="10">
        <v>45892</v>
      </c>
      <c r="B146" s="1">
        <v>65</v>
      </c>
      <c r="C146" s="1">
        <v>28</v>
      </c>
      <c r="D146" s="1">
        <v>0</v>
      </c>
      <c r="E146" s="1">
        <v>0</v>
      </c>
      <c r="F146" s="1">
        <v>479</v>
      </c>
      <c r="G146" s="1">
        <v>79</v>
      </c>
      <c r="H146" s="1">
        <v>5</v>
      </c>
      <c r="I146" s="1">
        <v>0</v>
      </c>
      <c r="J146" s="1"/>
      <c r="K146" s="1">
        <v>0</v>
      </c>
      <c r="L146" s="1">
        <v>2176</v>
      </c>
      <c r="M146" s="1">
        <v>0</v>
      </c>
      <c r="N146" s="1">
        <v>0</v>
      </c>
      <c r="O146" s="1">
        <v>0</v>
      </c>
      <c r="P146" s="1">
        <v>0</v>
      </c>
      <c r="Q146" s="1">
        <v>0</v>
      </c>
      <c r="R146" s="1">
        <v>44</v>
      </c>
      <c r="S146" s="1">
        <v>21</v>
      </c>
      <c r="T146" s="1">
        <v>0</v>
      </c>
      <c r="U146" s="1">
        <v>27</v>
      </c>
      <c r="V146" s="1">
        <v>1</v>
      </c>
      <c r="W146" s="1">
        <v>0</v>
      </c>
      <c r="X146" s="1">
        <v>0</v>
      </c>
      <c r="Y146" s="1">
        <v>0</v>
      </c>
      <c r="Z146" s="1">
        <v>0</v>
      </c>
      <c r="AA146" s="1">
        <v>0</v>
      </c>
      <c r="AB146" s="1">
        <v>0</v>
      </c>
      <c r="AC146" s="1">
        <v>0</v>
      </c>
      <c r="AD146" s="1">
        <v>441</v>
      </c>
      <c r="AE146" s="1">
        <v>38</v>
      </c>
      <c r="AF146" s="1">
        <v>0</v>
      </c>
      <c r="AG146" s="1">
        <v>7</v>
      </c>
      <c r="AH146" s="1">
        <v>72</v>
      </c>
      <c r="AI146" s="1">
        <v>0</v>
      </c>
      <c r="AJ146" s="1">
        <v>5</v>
      </c>
      <c r="AK146" s="1">
        <v>0</v>
      </c>
      <c r="AL146" s="1">
        <v>0</v>
      </c>
      <c r="AM146" s="1">
        <v>0</v>
      </c>
      <c r="AN146" s="1">
        <v>0</v>
      </c>
    </row>
    <row r="147" spans="1:40" x14ac:dyDescent="0.3">
      <c r="A147" s="10">
        <v>45893</v>
      </c>
      <c r="B147" s="1">
        <v>97</v>
      </c>
      <c r="C147" s="1">
        <v>34</v>
      </c>
      <c r="D147" s="1">
        <v>0</v>
      </c>
      <c r="E147" s="1">
        <v>0</v>
      </c>
      <c r="F147" s="1">
        <v>467</v>
      </c>
      <c r="G147" s="1">
        <v>106</v>
      </c>
      <c r="H147" s="1">
        <v>8</v>
      </c>
      <c r="I147" s="1">
        <v>0</v>
      </c>
      <c r="J147" s="1"/>
      <c r="K147" s="1">
        <v>0</v>
      </c>
      <c r="L147" s="1">
        <v>1795</v>
      </c>
      <c r="M147" s="1">
        <v>0</v>
      </c>
      <c r="N147" s="1">
        <v>0</v>
      </c>
      <c r="O147" s="1">
        <v>0</v>
      </c>
      <c r="P147" s="1">
        <v>0</v>
      </c>
      <c r="Q147" s="1">
        <v>0</v>
      </c>
      <c r="R147" s="1">
        <v>69</v>
      </c>
      <c r="S147" s="1">
        <v>28</v>
      </c>
      <c r="T147" s="1">
        <v>0</v>
      </c>
      <c r="U147" s="1">
        <v>34</v>
      </c>
      <c r="V147" s="1">
        <v>0</v>
      </c>
      <c r="W147" s="1">
        <v>0</v>
      </c>
      <c r="X147" s="1">
        <v>0</v>
      </c>
      <c r="Y147" s="1">
        <v>0</v>
      </c>
      <c r="Z147" s="1">
        <v>0</v>
      </c>
      <c r="AA147" s="1">
        <v>0</v>
      </c>
      <c r="AB147" s="1">
        <v>0</v>
      </c>
      <c r="AC147" s="1">
        <v>0</v>
      </c>
      <c r="AD147" s="1">
        <v>423</v>
      </c>
      <c r="AE147" s="1">
        <v>44</v>
      </c>
      <c r="AF147" s="1">
        <v>0</v>
      </c>
      <c r="AG147" s="1">
        <v>18</v>
      </c>
      <c r="AH147" s="1">
        <v>88</v>
      </c>
      <c r="AI147" s="1">
        <v>0</v>
      </c>
      <c r="AJ147" s="1">
        <v>8</v>
      </c>
      <c r="AK147" s="1">
        <v>0</v>
      </c>
      <c r="AL147" s="1">
        <v>0</v>
      </c>
      <c r="AM147" s="1">
        <v>0</v>
      </c>
      <c r="AN147" s="1">
        <v>0</v>
      </c>
    </row>
    <row r="148" spans="1:40" x14ac:dyDescent="0.3">
      <c r="A148" s="10">
        <v>45894</v>
      </c>
      <c r="B148" s="1">
        <v>72</v>
      </c>
      <c r="C148" s="1">
        <v>38</v>
      </c>
      <c r="D148" s="1">
        <v>0</v>
      </c>
      <c r="E148" s="1">
        <v>0</v>
      </c>
      <c r="F148" s="1">
        <v>356</v>
      </c>
      <c r="G148" s="1">
        <v>116</v>
      </c>
      <c r="H148" s="1">
        <v>20</v>
      </c>
      <c r="I148" s="1">
        <v>0</v>
      </c>
      <c r="J148" s="1"/>
      <c r="K148" s="1">
        <v>0</v>
      </c>
      <c r="L148" s="1">
        <v>1004</v>
      </c>
      <c r="M148" s="1">
        <v>0</v>
      </c>
      <c r="N148" s="1">
        <v>0</v>
      </c>
      <c r="O148" s="1">
        <v>0</v>
      </c>
      <c r="P148" s="1">
        <v>0</v>
      </c>
      <c r="Q148" s="1">
        <v>0</v>
      </c>
      <c r="R148" s="1">
        <v>59</v>
      </c>
      <c r="S148" s="1">
        <v>13</v>
      </c>
      <c r="T148" s="1">
        <v>0</v>
      </c>
      <c r="U148" s="1">
        <v>36</v>
      </c>
      <c r="V148" s="1">
        <v>2</v>
      </c>
      <c r="W148" s="1">
        <v>0</v>
      </c>
      <c r="X148" s="1">
        <v>0</v>
      </c>
      <c r="Y148" s="1">
        <v>0</v>
      </c>
      <c r="Z148" s="1">
        <v>0</v>
      </c>
      <c r="AA148" s="1">
        <v>0</v>
      </c>
      <c r="AB148" s="1">
        <v>0</v>
      </c>
      <c r="AC148" s="1">
        <v>0</v>
      </c>
      <c r="AD148" s="1">
        <v>315</v>
      </c>
      <c r="AE148" s="1">
        <v>41</v>
      </c>
      <c r="AF148" s="1">
        <v>0</v>
      </c>
      <c r="AG148" s="1">
        <v>21</v>
      </c>
      <c r="AH148" s="1">
        <v>95</v>
      </c>
      <c r="AI148" s="1">
        <v>0</v>
      </c>
      <c r="AJ148" s="1">
        <v>17</v>
      </c>
      <c r="AK148" s="1">
        <v>3</v>
      </c>
      <c r="AL148" s="1">
        <v>0</v>
      </c>
      <c r="AM148" s="1">
        <v>0</v>
      </c>
      <c r="AN148" s="1">
        <v>0</v>
      </c>
    </row>
    <row r="149" spans="1:40" x14ac:dyDescent="0.3">
      <c r="A149" s="10">
        <v>45895</v>
      </c>
      <c r="B149" s="1">
        <v>52</v>
      </c>
      <c r="C149" s="1">
        <v>30</v>
      </c>
      <c r="D149" s="1">
        <v>0</v>
      </c>
      <c r="E149" s="1">
        <v>0</v>
      </c>
      <c r="F149" s="1">
        <v>297</v>
      </c>
      <c r="G149" s="1">
        <v>100</v>
      </c>
      <c r="H149" s="1">
        <v>16</v>
      </c>
      <c r="I149" s="1">
        <v>0</v>
      </c>
      <c r="J149" s="1"/>
      <c r="K149" s="1">
        <v>0</v>
      </c>
      <c r="L149" s="1">
        <v>497</v>
      </c>
      <c r="M149" s="1">
        <v>0</v>
      </c>
      <c r="N149" s="1">
        <v>0</v>
      </c>
      <c r="O149" s="1">
        <v>38</v>
      </c>
      <c r="P149" s="1">
        <v>0</v>
      </c>
      <c r="Q149" s="1">
        <v>0</v>
      </c>
      <c r="R149" s="1">
        <v>46</v>
      </c>
      <c r="S149" s="1">
        <v>6</v>
      </c>
      <c r="T149" s="1">
        <v>0</v>
      </c>
      <c r="U149" s="1">
        <v>30</v>
      </c>
      <c r="V149" s="1">
        <v>0</v>
      </c>
      <c r="W149" s="1">
        <v>0</v>
      </c>
      <c r="X149" s="1">
        <v>0</v>
      </c>
      <c r="Y149" s="1">
        <v>0</v>
      </c>
      <c r="Z149" s="1">
        <v>0</v>
      </c>
      <c r="AA149" s="1">
        <v>0</v>
      </c>
      <c r="AB149" s="1">
        <v>0</v>
      </c>
      <c r="AC149" s="1">
        <v>0</v>
      </c>
      <c r="AD149" s="1">
        <v>256</v>
      </c>
      <c r="AE149" s="1">
        <v>41</v>
      </c>
      <c r="AF149" s="1">
        <v>0</v>
      </c>
      <c r="AG149" s="1">
        <v>24</v>
      </c>
      <c r="AH149" s="1">
        <v>76</v>
      </c>
      <c r="AI149" s="1">
        <v>0</v>
      </c>
      <c r="AJ149" s="1">
        <v>15</v>
      </c>
      <c r="AK149" s="1">
        <v>1</v>
      </c>
      <c r="AL149" s="1">
        <v>0</v>
      </c>
      <c r="AM149" s="1">
        <v>0</v>
      </c>
      <c r="AN149" s="1">
        <v>0</v>
      </c>
    </row>
    <row r="150" spans="1:40" x14ac:dyDescent="0.3">
      <c r="A150" s="10">
        <v>45896</v>
      </c>
      <c r="B150" s="1">
        <v>45</v>
      </c>
      <c r="C150" s="1">
        <v>21</v>
      </c>
      <c r="D150" s="1">
        <v>0</v>
      </c>
      <c r="E150" s="1">
        <v>0</v>
      </c>
      <c r="F150" s="1">
        <v>265</v>
      </c>
      <c r="G150" s="1">
        <v>89</v>
      </c>
      <c r="H150" s="1">
        <v>23</v>
      </c>
      <c r="I150" s="1">
        <v>0</v>
      </c>
      <c r="J150" s="1"/>
      <c r="K150" s="1">
        <v>0</v>
      </c>
      <c r="L150" s="1">
        <v>438</v>
      </c>
      <c r="M150" s="1">
        <v>0</v>
      </c>
      <c r="N150" s="1">
        <v>0</v>
      </c>
      <c r="O150" s="1">
        <v>9</v>
      </c>
      <c r="P150" s="1">
        <v>0</v>
      </c>
      <c r="Q150" s="1">
        <v>0</v>
      </c>
      <c r="R150" s="1">
        <v>39</v>
      </c>
      <c r="S150" s="1">
        <v>6</v>
      </c>
      <c r="T150" s="1">
        <v>0</v>
      </c>
      <c r="U150" s="1">
        <v>18</v>
      </c>
      <c r="V150" s="1">
        <v>3</v>
      </c>
      <c r="W150" s="1">
        <v>0</v>
      </c>
      <c r="X150" s="1">
        <v>0</v>
      </c>
      <c r="Y150" s="1">
        <v>0</v>
      </c>
      <c r="Z150" s="1">
        <v>0</v>
      </c>
      <c r="AA150" s="1">
        <v>0</v>
      </c>
      <c r="AB150" s="1">
        <v>0</v>
      </c>
      <c r="AC150" s="1">
        <v>0</v>
      </c>
      <c r="AD150" s="1">
        <v>245</v>
      </c>
      <c r="AE150" s="1">
        <v>20</v>
      </c>
      <c r="AF150" s="1">
        <v>0</v>
      </c>
      <c r="AG150" s="1">
        <v>8</v>
      </c>
      <c r="AH150" s="1">
        <v>81</v>
      </c>
      <c r="AI150" s="1">
        <v>0</v>
      </c>
      <c r="AJ150" s="1">
        <v>21</v>
      </c>
      <c r="AK150" s="1">
        <v>2</v>
      </c>
      <c r="AL150" s="1">
        <v>0</v>
      </c>
      <c r="AM150" s="1">
        <v>0</v>
      </c>
      <c r="AN150" s="1">
        <v>0</v>
      </c>
    </row>
    <row r="151" spans="1:40" x14ac:dyDescent="0.3">
      <c r="A151" s="10">
        <v>45897</v>
      </c>
      <c r="B151" s="1">
        <v>31</v>
      </c>
      <c r="C151" s="1">
        <v>23</v>
      </c>
      <c r="D151" s="1">
        <v>0</v>
      </c>
      <c r="E151" s="1">
        <v>0</v>
      </c>
      <c r="F151" s="1">
        <v>140</v>
      </c>
      <c r="G151" s="1">
        <v>121</v>
      </c>
      <c r="H151" s="1">
        <v>14</v>
      </c>
      <c r="I151" s="1">
        <v>0</v>
      </c>
      <c r="J151" s="1"/>
      <c r="K151" s="1">
        <v>0</v>
      </c>
      <c r="L151" s="1">
        <v>386</v>
      </c>
      <c r="M151" s="1">
        <v>0</v>
      </c>
      <c r="N151" s="1">
        <v>0</v>
      </c>
      <c r="O151" s="1">
        <v>0</v>
      </c>
      <c r="P151" s="1">
        <v>0</v>
      </c>
      <c r="Q151" s="1">
        <v>0</v>
      </c>
      <c r="R151" s="1">
        <v>24</v>
      </c>
      <c r="S151" s="1">
        <v>7</v>
      </c>
      <c r="T151" s="1">
        <v>0</v>
      </c>
      <c r="U151" s="1">
        <v>22</v>
      </c>
      <c r="V151" s="1">
        <v>1</v>
      </c>
      <c r="W151" s="1">
        <v>0</v>
      </c>
      <c r="X151" s="1">
        <v>0</v>
      </c>
      <c r="Y151" s="1">
        <v>0</v>
      </c>
      <c r="Z151" s="1">
        <v>0</v>
      </c>
      <c r="AA151" s="1">
        <v>0</v>
      </c>
      <c r="AB151" s="1">
        <v>0</v>
      </c>
      <c r="AC151" s="1">
        <v>0</v>
      </c>
      <c r="AD151" s="1">
        <v>127</v>
      </c>
      <c r="AE151" s="1">
        <v>13</v>
      </c>
      <c r="AF151" s="1">
        <v>0</v>
      </c>
      <c r="AG151" s="1">
        <v>18</v>
      </c>
      <c r="AH151" s="1">
        <v>103</v>
      </c>
      <c r="AI151" s="1">
        <v>0</v>
      </c>
      <c r="AJ151" s="1">
        <v>9</v>
      </c>
      <c r="AK151" s="1">
        <v>5</v>
      </c>
      <c r="AL151" s="1">
        <v>0</v>
      </c>
      <c r="AM151" s="1">
        <v>0</v>
      </c>
      <c r="AN151" s="1">
        <v>0</v>
      </c>
    </row>
    <row r="152" spans="1:40" x14ac:dyDescent="0.3">
      <c r="A152" s="10">
        <v>45898</v>
      </c>
      <c r="B152" s="1">
        <v>36</v>
      </c>
      <c r="C152" s="1">
        <v>25</v>
      </c>
      <c r="D152" s="1">
        <v>0</v>
      </c>
      <c r="E152" s="1">
        <v>0</v>
      </c>
      <c r="F152" s="1">
        <v>107</v>
      </c>
      <c r="G152" s="1">
        <v>130</v>
      </c>
      <c r="H152" s="1">
        <v>10</v>
      </c>
      <c r="I152" s="1">
        <v>0</v>
      </c>
      <c r="J152" s="1"/>
      <c r="K152" s="1">
        <v>0</v>
      </c>
      <c r="L152" s="1">
        <v>503</v>
      </c>
      <c r="M152" s="1">
        <v>0</v>
      </c>
      <c r="N152" s="1">
        <v>0</v>
      </c>
      <c r="O152" s="1">
        <v>0</v>
      </c>
      <c r="P152" s="1">
        <v>0</v>
      </c>
      <c r="Q152" s="1">
        <v>0</v>
      </c>
      <c r="R152" s="1">
        <v>29</v>
      </c>
      <c r="S152" s="1">
        <v>7</v>
      </c>
      <c r="T152" s="1">
        <v>0</v>
      </c>
      <c r="U152" s="1">
        <v>23</v>
      </c>
      <c r="V152" s="1">
        <v>2</v>
      </c>
      <c r="W152" s="1">
        <v>0</v>
      </c>
      <c r="X152" s="1">
        <v>0</v>
      </c>
      <c r="Y152" s="1">
        <v>0</v>
      </c>
      <c r="Z152" s="1">
        <v>0</v>
      </c>
      <c r="AA152" s="1">
        <v>0</v>
      </c>
      <c r="AB152" s="1">
        <v>0</v>
      </c>
      <c r="AC152" s="1">
        <v>0</v>
      </c>
      <c r="AD152" s="1">
        <v>98</v>
      </c>
      <c r="AE152" s="1">
        <v>9</v>
      </c>
      <c r="AF152" s="1">
        <v>0</v>
      </c>
      <c r="AG152" s="1">
        <v>43</v>
      </c>
      <c r="AH152" s="1">
        <v>87</v>
      </c>
      <c r="AI152" s="1">
        <v>0</v>
      </c>
      <c r="AJ152" s="1">
        <v>9</v>
      </c>
      <c r="AK152" s="1">
        <v>1</v>
      </c>
      <c r="AL152" s="1">
        <v>0</v>
      </c>
      <c r="AM152" s="1">
        <v>0</v>
      </c>
      <c r="AN152" s="1">
        <v>0</v>
      </c>
    </row>
    <row r="153" spans="1:40" x14ac:dyDescent="0.3">
      <c r="A153" s="10">
        <v>45899</v>
      </c>
      <c r="B153" s="1">
        <v>100</v>
      </c>
      <c r="C153" s="1">
        <v>57</v>
      </c>
      <c r="D153" s="1">
        <v>0</v>
      </c>
      <c r="E153" s="1">
        <v>0</v>
      </c>
      <c r="F153" s="1">
        <v>153</v>
      </c>
      <c r="G153" s="1">
        <v>190</v>
      </c>
      <c r="H153" s="1">
        <v>13</v>
      </c>
      <c r="I153" s="1">
        <v>0</v>
      </c>
      <c r="J153" s="1"/>
      <c r="K153" s="1">
        <v>0</v>
      </c>
      <c r="L153" s="1">
        <v>707</v>
      </c>
      <c r="M153" s="1">
        <v>0</v>
      </c>
      <c r="N153" s="1">
        <v>0</v>
      </c>
      <c r="O153" s="1">
        <v>0</v>
      </c>
      <c r="P153" s="1">
        <v>0</v>
      </c>
      <c r="Q153" s="1">
        <v>0</v>
      </c>
      <c r="R153" s="1">
        <v>85</v>
      </c>
      <c r="S153" s="1">
        <v>15</v>
      </c>
      <c r="T153" s="1">
        <v>0</v>
      </c>
      <c r="U153" s="1">
        <v>50</v>
      </c>
      <c r="V153" s="1">
        <v>7</v>
      </c>
      <c r="W153" s="1">
        <v>0</v>
      </c>
      <c r="X153" s="1">
        <v>0</v>
      </c>
      <c r="Y153" s="1">
        <v>0</v>
      </c>
      <c r="Z153" s="1">
        <v>0</v>
      </c>
      <c r="AA153" s="1">
        <v>0</v>
      </c>
      <c r="AB153" s="1">
        <v>0</v>
      </c>
      <c r="AC153" s="1">
        <v>0</v>
      </c>
      <c r="AD153" s="1">
        <v>141</v>
      </c>
      <c r="AE153" s="1">
        <v>12</v>
      </c>
      <c r="AF153" s="1">
        <v>0</v>
      </c>
      <c r="AG153" s="1">
        <v>25</v>
      </c>
      <c r="AH153" s="1">
        <v>165</v>
      </c>
      <c r="AI153" s="1">
        <v>0</v>
      </c>
      <c r="AJ153" s="1">
        <v>11</v>
      </c>
      <c r="AK153" s="1">
        <v>2</v>
      </c>
      <c r="AL153" s="1">
        <v>0</v>
      </c>
      <c r="AM153" s="1">
        <v>0</v>
      </c>
      <c r="AN153" s="1">
        <v>0</v>
      </c>
    </row>
    <row r="154" spans="1:40" x14ac:dyDescent="0.3">
      <c r="A154" s="10">
        <v>45900</v>
      </c>
      <c r="B154" s="1">
        <v>84.5</v>
      </c>
      <c r="C154" s="1">
        <v>52.5</v>
      </c>
      <c r="D154" s="1">
        <v>0</v>
      </c>
      <c r="E154" s="1">
        <v>0</v>
      </c>
      <c r="F154" s="1">
        <v>197</v>
      </c>
      <c r="G154" s="1">
        <v>159.5</v>
      </c>
      <c r="H154" s="1">
        <v>8.5</v>
      </c>
      <c r="I154" s="1">
        <v>0</v>
      </c>
      <c r="J154" s="1"/>
      <c r="K154" s="1">
        <v>0</v>
      </c>
      <c r="L154" s="1">
        <v>560</v>
      </c>
      <c r="M154" s="1">
        <v>0</v>
      </c>
      <c r="N154" s="1">
        <v>0</v>
      </c>
      <c r="O154" s="1">
        <v>11</v>
      </c>
      <c r="P154" s="1">
        <v>0</v>
      </c>
      <c r="Q154" s="1">
        <v>0</v>
      </c>
      <c r="R154" s="1">
        <v>63</v>
      </c>
      <c r="S154" s="1">
        <v>21.5</v>
      </c>
      <c r="T154" s="1">
        <v>0</v>
      </c>
      <c r="U154" s="1">
        <v>51.5</v>
      </c>
      <c r="V154" s="1">
        <v>1</v>
      </c>
      <c r="W154" s="1">
        <v>0</v>
      </c>
      <c r="X154" s="1">
        <v>0</v>
      </c>
      <c r="Y154" s="1">
        <v>0</v>
      </c>
      <c r="Z154" s="1">
        <v>0</v>
      </c>
      <c r="AA154" s="1">
        <v>0</v>
      </c>
      <c r="AB154" s="1">
        <v>0</v>
      </c>
      <c r="AC154" s="1">
        <v>0</v>
      </c>
      <c r="AD154" s="1">
        <v>172.5</v>
      </c>
      <c r="AE154" s="1">
        <v>24.5</v>
      </c>
      <c r="AF154" s="1">
        <v>0</v>
      </c>
      <c r="AG154" s="1">
        <v>28</v>
      </c>
      <c r="AH154" s="1">
        <v>131.5</v>
      </c>
      <c r="AI154" s="1">
        <v>0</v>
      </c>
      <c r="AJ154" s="1">
        <v>7.5</v>
      </c>
      <c r="AK154" s="1">
        <v>1</v>
      </c>
      <c r="AL154" s="1">
        <v>0</v>
      </c>
      <c r="AM154" s="1">
        <v>0</v>
      </c>
      <c r="AN154" s="1">
        <v>0</v>
      </c>
    </row>
    <row r="155" spans="1:40" x14ac:dyDescent="0.3">
      <c r="A155" s="10">
        <v>45901</v>
      </c>
      <c r="B155" s="1">
        <v>176</v>
      </c>
      <c r="C155" s="1">
        <v>89</v>
      </c>
      <c r="D155" s="1">
        <v>0</v>
      </c>
      <c r="E155" s="1">
        <v>0</v>
      </c>
      <c r="F155" s="1">
        <v>295</v>
      </c>
      <c r="G155" s="1">
        <v>232</v>
      </c>
      <c r="H155" s="1">
        <v>7</v>
      </c>
      <c r="I155" s="1">
        <v>0</v>
      </c>
      <c r="J155" s="1"/>
      <c r="K155" s="1">
        <v>0</v>
      </c>
      <c r="L155" s="1">
        <v>768</v>
      </c>
      <c r="M155" s="1">
        <v>0</v>
      </c>
      <c r="N155" s="1">
        <v>0</v>
      </c>
      <c r="O155" s="1">
        <v>0</v>
      </c>
      <c r="P155" s="1">
        <v>0</v>
      </c>
      <c r="Q155" s="1">
        <v>0</v>
      </c>
      <c r="R155" s="1">
        <v>141</v>
      </c>
      <c r="S155" s="1">
        <v>35</v>
      </c>
      <c r="T155" s="1">
        <v>0</v>
      </c>
      <c r="U155" s="1">
        <v>82</v>
      </c>
      <c r="V155" s="1">
        <v>7</v>
      </c>
      <c r="W155" s="1">
        <v>0</v>
      </c>
      <c r="X155" s="1">
        <v>0</v>
      </c>
      <c r="Y155" s="1">
        <v>0</v>
      </c>
      <c r="Z155" s="1">
        <v>0</v>
      </c>
      <c r="AA155" s="1">
        <v>0</v>
      </c>
      <c r="AB155" s="1">
        <v>0</v>
      </c>
      <c r="AC155" s="1">
        <v>0</v>
      </c>
      <c r="AD155" s="1">
        <v>273</v>
      </c>
      <c r="AE155" s="1">
        <v>22</v>
      </c>
      <c r="AF155" s="1">
        <v>0</v>
      </c>
      <c r="AG155" s="1">
        <v>44</v>
      </c>
      <c r="AH155" s="1">
        <v>188</v>
      </c>
      <c r="AI155" s="1">
        <v>0</v>
      </c>
      <c r="AJ155" s="1">
        <v>2</v>
      </c>
      <c r="AK155" s="1">
        <v>5</v>
      </c>
      <c r="AL155" s="1">
        <v>0</v>
      </c>
      <c r="AM155" s="1">
        <v>0</v>
      </c>
      <c r="AN155" s="1">
        <v>0</v>
      </c>
    </row>
    <row r="156" spans="1:40" x14ac:dyDescent="0.3">
      <c r="A156" s="10">
        <v>45902</v>
      </c>
      <c r="B156" s="1">
        <v>243</v>
      </c>
      <c r="C156" s="1">
        <v>95</v>
      </c>
      <c r="D156" s="1">
        <v>0</v>
      </c>
      <c r="E156" s="1">
        <v>0</v>
      </c>
      <c r="F156" s="1">
        <v>510</v>
      </c>
      <c r="G156" s="1">
        <v>304</v>
      </c>
      <c r="H156" s="1">
        <v>1</v>
      </c>
      <c r="I156" s="1">
        <v>0</v>
      </c>
      <c r="J156" s="1"/>
      <c r="K156" s="1">
        <v>0</v>
      </c>
      <c r="L156" s="1">
        <v>585</v>
      </c>
      <c r="M156" s="1">
        <v>0</v>
      </c>
      <c r="N156" s="1">
        <v>0</v>
      </c>
      <c r="O156" s="1">
        <v>46</v>
      </c>
      <c r="P156" s="1">
        <v>0</v>
      </c>
      <c r="Q156" s="1">
        <v>0</v>
      </c>
      <c r="R156" s="1">
        <v>179</v>
      </c>
      <c r="S156" s="1">
        <v>64</v>
      </c>
      <c r="T156" s="1">
        <v>0</v>
      </c>
      <c r="U156" s="1">
        <v>85</v>
      </c>
      <c r="V156" s="1">
        <v>10</v>
      </c>
      <c r="W156" s="1">
        <v>0</v>
      </c>
      <c r="X156" s="1">
        <v>0</v>
      </c>
      <c r="Y156" s="1">
        <v>0</v>
      </c>
      <c r="Z156" s="1">
        <v>0</v>
      </c>
      <c r="AA156" s="1">
        <v>0</v>
      </c>
      <c r="AB156" s="1">
        <v>0</v>
      </c>
      <c r="AC156" s="1">
        <v>0</v>
      </c>
      <c r="AD156" s="1">
        <v>451</v>
      </c>
      <c r="AE156" s="1">
        <v>59</v>
      </c>
      <c r="AF156" s="1">
        <v>0</v>
      </c>
      <c r="AG156" s="1">
        <v>55</v>
      </c>
      <c r="AH156" s="1">
        <v>249</v>
      </c>
      <c r="AI156" s="1">
        <v>0</v>
      </c>
      <c r="AJ156" s="1">
        <v>1</v>
      </c>
      <c r="AK156" s="1">
        <v>0</v>
      </c>
      <c r="AL156" s="1">
        <v>0</v>
      </c>
      <c r="AM156" s="1">
        <v>0</v>
      </c>
      <c r="AN156" s="1">
        <v>0</v>
      </c>
    </row>
    <row r="157" spans="1:40" x14ac:dyDescent="0.3">
      <c r="A157" s="10">
        <v>45903</v>
      </c>
      <c r="B157" s="1">
        <v>227</v>
      </c>
      <c r="C157" s="1">
        <v>88</v>
      </c>
      <c r="D157" s="1">
        <v>0</v>
      </c>
      <c r="E157" s="1">
        <v>0</v>
      </c>
      <c r="F157" s="1">
        <v>418</v>
      </c>
      <c r="G157" s="1">
        <v>278</v>
      </c>
      <c r="H157" s="1">
        <v>6</v>
      </c>
      <c r="I157" s="1">
        <v>0</v>
      </c>
      <c r="J157" s="1"/>
      <c r="K157" s="1">
        <v>0</v>
      </c>
      <c r="L157" s="1">
        <v>537</v>
      </c>
      <c r="M157" s="1">
        <v>0</v>
      </c>
      <c r="N157" s="1">
        <v>0</v>
      </c>
      <c r="O157" s="1">
        <v>28</v>
      </c>
      <c r="P157" s="1">
        <v>0</v>
      </c>
      <c r="Q157" s="1">
        <v>0</v>
      </c>
      <c r="R157" s="1">
        <v>158</v>
      </c>
      <c r="S157" s="1">
        <v>69</v>
      </c>
      <c r="T157" s="1">
        <v>0</v>
      </c>
      <c r="U157" s="1">
        <v>80</v>
      </c>
      <c r="V157" s="1">
        <v>8</v>
      </c>
      <c r="W157" s="1">
        <v>0</v>
      </c>
      <c r="X157" s="1">
        <v>0</v>
      </c>
      <c r="Y157" s="1">
        <v>0</v>
      </c>
      <c r="Z157" s="1">
        <v>0</v>
      </c>
      <c r="AA157" s="1">
        <v>0</v>
      </c>
      <c r="AB157" s="1">
        <v>0</v>
      </c>
      <c r="AC157" s="1">
        <v>0</v>
      </c>
      <c r="AD157" s="1">
        <v>372</v>
      </c>
      <c r="AE157" s="1">
        <v>46</v>
      </c>
      <c r="AF157" s="1">
        <v>0</v>
      </c>
      <c r="AG157" s="1">
        <v>40</v>
      </c>
      <c r="AH157" s="1">
        <v>238</v>
      </c>
      <c r="AI157" s="1">
        <v>0</v>
      </c>
      <c r="AJ157" s="1">
        <v>2</v>
      </c>
      <c r="AK157" s="1">
        <v>4</v>
      </c>
      <c r="AL157" s="1">
        <v>0</v>
      </c>
      <c r="AM157" s="1">
        <v>0</v>
      </c>
      <c r="AN157" s="1">
        <v>0</v>
      </c>
    </row>
    <row r="158" spans="1:40" x14ac:dyDescent="0.3">
      <c r="A158" s="10">
        <v>45904</v>
      </c>
      <c r="B158" s="1">
        <v>226</v>
      </c>
      <c r="C158" s="1">
        <v>115</v>
      </c>
      <c r="D158" s="1">
        <v>0</v>
      </c>
      <c r="E158" s="1">
        <v>0</v>
      </c>
      <c r="F158" s="1">
        <v>1205</v>
      </c>
      <c r="G158" s="1">
        <v>426</v>
      </c>
      <c r="H158" s="1">
        <v>10</v>
      </c>
      <c r="I158" s="1">
        <v>0</v>
      </c>
      <c r="J158" s="1"/>
      <c r="K158" s="1">
        <v>0</v>
      </c>
      <c r="L158" s="1">
        <v>560</v>
      </c>
      <c r="M158" s="1">
        <v>0</v>
      </c>
      <c r="N158" s="1">
        <v>0</v>
      </c>
      <c r="O158" s="1">
        <v>0</v>
      </c>
      <c r="P158" s="1">
        <v>0</v>
      </c>
      <c r="Q158" s="1">
        <v>0</v>
      </c>
      <c r="R158" s="1">
        <v>165</v>
      </c>
      <c r="S158" s="1">
        <v>61</v>
      </c>
      <c r="T158" s="1">
        <v>0</v>
      </c>
      <c r="U158" s="1">
        <v>99</v>
      </c>
      <c r="V158" s="1">
        <v>16</v>
      </c>
      <c r="W158" s="1">
        <v>0</v>
      </c>
      <c r="X158" s="1">
        <v>0</v>
      </c>
      <c r="Y158" s="1">
        <v>0</v>
      </c>
      <c r="Z158" s="1">
        <v>0</v>
      </c>
      <c r="AA158" s="1">
        <v>0</v>
      </c>
      <c r="AB158" s="1">
        <v>0</v>
      </c>
      <c r="AC158" s="1">
        <v>0</v>
      </c>
      <c r="AD158" s="1">
        <v>1111</v>
      </c>
      <c r="AE158" s="1">
        <v>94</v>
      </c>
      <c r="AF158" s="1">
        <v>0</v>
      </c>
      <c r="AG158" s="1">
        <v>50</v>
      </c>
      <c r="AH158" s="1">
        <v>376</v>
      </c>
      <c r="AI158" s="1">
        <v>0</v>
      </c>
      <c r="AJ158" s="1">
        <v>8</v>
      </c>
      <c r="AK158" s="1">
        <v>2</v>
      </c>
      <c r="AL158" s="1">
        <v>0</v>
      </c>
      <c r="AM158" s="1">
        <v>0</v>
      </c>
      <c r="AN158" s="1">
        <v>0</v>
      </c>
    </row>
    <row r="159" spans="1:40" x14ac:dyDescent="0.3">
      <c r="A159" s="10">
        <v>45905</v>
      </c>
      <c r="B159" s="1">
        <v>199</v>
      </c>
      <c r="C159" s="1">
        <v>104</v>
      </c>
      <c r="D159" s="1">
        <v>0</v>
      </c>
      <c r="E159" s="1">
        <v>0</v>
      </c>
      <c r="F159" s="1">
        <v>810</v>
      </c>
      <c r="G159" s="1">
        <v>280</v>
      </c>
      <c r="H159" s="1">
        <v>10</v>
      </c>
      <c r="I159" s="1">
        <v>0</v>
      </c>
      <c r="J159" s="1"/>
      <c r="K159" s="1">
        <v>0</v>
      </c>
      <c r="L159" s="1">
        <v>281</v>
      </c>
      <c r="M159" s="1">
        <v>0</v>
      </c>
      <c r="N159" s="1">
        <v>0</v>
      </c>
      <c r="O159" s="1">
        <v>17</v>
      </c>
      <c r="P159" s="1">
        <v>0</v>
      </c>
      <c r="Q159" s="1">
        <v>0</v>
      </c>
      <c r="R159" s="1">
        <v>155</v>
      </c>
      <c r="S159" s="1">
        <v>44</v>
      </c>
      <c r="T159" s="1">
        <v>0</v>
      </c>
      <c r="U159" s="1">
        <v>86</v>
      </c>
      <c r="V159" s="1">
        <v>18</v>
      </c>
      <c r="W159" s="1">
        <v>0</v>
      </c>
      <c r="X159" s="1">
        <v>0</v>
      </c>
      <c r="Y159" s="1">
        <v>0</v>
      </c>
      <c r="Z159" s="1">
        <v>0</v>
      </c>
      <c r="AA159" s="1">
        <v>0</v>
      </c>
      <c r="AB159" s="1">
        <v>0</v>
      </c>
      <c r="AC159" s="1">
        <v>0</v>
      </c>
      <c r="AD159" s="1">
        <v>752</v>
      </c>
      <c r="AE159" s="1">
        <v>58</v>
      </c>
      <c r="AF159" s="1">
        <v>0</v>
      </c>
      <c r="AG159" s="1">
        <v>27</v>
      </c>
      <c r="AH159" s="1">
        <v>253</v>
      </c>
      <c r="AI159" s="1">
        <v>0</v>
      </c>
      <c r="AJ159" s="1">
        <v>10</v>
      </c>
      <c r="AK159" s="1">
        <v>0</v>
      </c>
      <c r="AL159" s="1">
        <v>0</v>
      </c>
      <c r="AM159" s="1">
        <v>0</v>
      </c>
      <c r="AN159" s="1">
        <v>0</v>
      </c>
    </row>
    <row r="160" spans="1:40" x14ac:dyDescent="0.3">
      <c r="A160" s="10">
        <v>45906</v>
      </c>
      <c r="B160" s="1">
        <v>157</v>
      </c>
      <c r="C160" s="1">
        <v>89</v>
      </c>
      <c r="D160" s="1">
        <v>0</v>
      </c>
      <c r="E160" s="1">
        <v>0</v>
      </c>
      <c r="F160" s="1">
        <v>915</v>
      </c>
      <c r="G160" s="1">
        <v>222</v>
      </c>
      <c r="H160" s="1">
        <v>1</v>
      </c>
      <c r="I160" s="1">
        <v>0</v>
      </c>
      <c r="J160" s="1"/>
      <c r="K160" s="1">
        <v>0</v>
      </c>
      <c r="L160" s="1">
        <v>199</v>
      </c>
      <c r="M160" s="1">
        <v>0</v>
      </c>
      <c r="N160" s="1">
        <v>0</v>
      </c>
      <c r="O160" s="1">
        <v>7</v>
      </c>
      <c r="P160" s="1">
        <v>0</v>
      </c>
      <c r="Q160" s="1">
        <v>0</v>
      </c>
      <c r="R160" s="1">
        <v>120</v>
      </c>
      <c r="S160" s="1">
        <v>37</v>
      </c>
      <c r="T160" s="1">
        <v>0</v>
      </c>
      <c r="U160" s="1">
        <v>73</v>
      </c>
      <c r="V160" s="1">
        <v>16</v>
      </c>
      <c r="W160" s="1">
        <v>0</v>
      </c>
      <c r="X160" s="1">
        <v>0</v>
      </c>
      <c r="Y160" s="1">
        <v>0</v>
      </c>
      <c r="Z160" s="1">
        <v>0</v>
      </c>
      <c r="AA160" s="1">
        <v>0</v>
      </c>
      <c r="AB160" s="1">
        <v>0</v>
      </c>
      <c r="AC160" s="1">
        <v>0</v>
      </c>
      <c r="AD160" s="1">
        <v>864</v>
      </c>
      <c r="AE160" s="1">
        <v>51</v>
      </c>
      <c r="AF160" s="1">
        <v>0</v>
      </c>
      <c r="AG160" s="1">
        <v>23</v>
      </c>
      <c r="AH160" s="1">
        <v>199</v>
      </c>
      <c r="AI160" s="1">
        <v>0</v>
      </c>
      <c r="AJ160" s="1">
        <v>1</v>
      </c>
      <c r="AK160" s="1">
        <v>0</v>
      </c>
      <c r="AL160" s="1">
        <v>0</v>
      </c>
      <c r="AM160" s="1">
        <v>0</v>
      </c>
      <c r="AN160" s="1">
        <v>0</v>
      </c>
    </row>
    <row r="161" spans="1:40" x14ac:dyDescent="0.3">
      <c r="A161" s="10">
        <v>45907</v>
      </c>
      <c r="B161" s="1">
        <v>477</v>
      </c>
      <c r="C161" s="1">
        <v>129</v>
      </c>
      <c r="D161" s="1">
        <v>0</v>
      </c>
      <c r="E161" s="1">
        <v>0</v>
      </c>
      <c r="F161" s="1">
        <v>1218</v>
      </c>
      <c r="G161" s="1">
        <v>315</v>
      </c>
      <c r="H161" s="1">
        <v>6</v>
      </c>
      <c r="I161" s="1">
        <v>0</v>
      </c>
      <c r="J161" s="1"/>
      <c r="K161" s="1">
        <v>0</v>
      </c>
      <c r="L161" s="1">
        <v>291</v>
      </c>
      <c r="M161" s="1">
        <v>0</v>
      </c>
      <c r="N161" s="1">
        <v>0</v>
      </c>
      <c r="O161" s="1">
        <v>24</v>
      </c>
      <c r="P161" s="1">
        <v>0</v>
      </c>
      <c r="Q161" s="1">
        <v>0</v>
      </c>
      <c r="R161" s="1">
        <v>339</v>
      </c>
      <c r="S161" s="1">
        <v>138</v>
      </c>
      <c r="T161" s="1">
        <v>0</v>
      </c>
      <c r="U161" s="1">
        <v>108</v>
      </c>
      <c r="V161" s="1">
        <v>21</v>
      </c>
      <c r="W161" s="1">
        <v>0</v>
      </c>
      <c r="X161" s="1">
        <v>0</v>
      </c>
      <c r="Y161" s="1">
        <v>0</v>
      </c>
      <c r="Z161" s="1">
        <v>0</v>
      </c>
      <c r="AA161" s="1">
        <v>0</v>
      </c>
      <c r="AB161" s="1">
        <v>0</v>
      </c>
      <c r="AC161" s="1">
        <v>0</v>
      </c>
      <c r="AD161" s="1">
        <v>1137</v>
      </c>
      <c r="AE161" s="1">
        <v>81</v>
      </c>
      <c r="AF161" s="1">
        <v>0</v>
      </c>
      <c r="AG161" s="1">
        <v>72</v>
      </c>
      <c r="AH161" s="1">
        <v>243</v>
      </c>
      <c r="AI161" s="1">
        <v>0</v>
      </c>
      <c r="AJ161" s="1">
        <v>6</v>
      </c>
      <c r="AK161" s="1">
        <v>0</v>
      </c>
      <c r="AL161" s="1">
        <v>0</v>
      </c>
      <c r="AM161" s="1">
        <v>0</v>
      </c>
      <c r="AN161" s="1">
        <v>0</v>
      </c>
    </row>
    <row r="162" spans="1:40" x14ac:dyDescent="0.3">
      <c r="A162" s="10">
        <v>45908</v>
      </c>
      <c r="B162" s="1">
        <v>832</v>
      </c>
      <c r="C162" s="1">
        <v>75</v>
      </c>
      <c r="D162" s="1">
        <v>0</v>
      </c>
      <c r="E162" s="1">
        <v>0</v>
      </c>
      <c r="F162" s="1">
        <v>1108</v>
      </c>
      <c r="G162" s="1">
        <v>279</v>
      </c>
      <c r="H162" s="1">
        <v>3</v>
      </c>
      <c r="I162" s="1">
        <v>0</v>
      </c>
      <c r="J162" s="1"/>
      <c r="K162" s="1">
        <v>0</v>
      </c>
      <c r="L162" s="1">
        <v>377</v>
      </c>
      <c r="M162" s="1">
        <v>0</v>
      </c>
      <c r="N162" s="1">
        <v>0</v>
      </c>
      <c r="O162" s="1">
        <v>6</v>
      </c>
      <c r="P162" s="1">
        <v>0</v>
      </c>
      <c r="Q162" s="1">
        <v>0</v>
      </c>
      <c r="R162" s="1">
        <v>471</v>
      </c>
      <c r="S162" s="1">
        <v>361</v>
      </c>
      <c r="T162" s="1">
        <v>0</v>
      </c>
      <c r="U162" s="1">
        <v>66</v>
      </c>
      <c r="V162" s="1">
        <v>9</v>
      </c>
      <c r="W162" s="1">
        <v>0</v>
      </c>
      <c r="X162" s="1">
        <v>0</v>
      </c>
      <c r="Y162" s="1">
        <v>0</v>
      </c>
      <c r="Z162" s="1">
        <v>0</v>
      </c>
      <c r="AA162" s="1">
        <v>0</v>
      </c>
      <c r="AB162" s="1">
        <v>0</v>
      </c>
      <c r="AC162" s="1">
        <v>0</v>
      </c>
      <c r="AD162" s="1">
        <v>1044</v>
      </c>
      <c r="AE162" s="1">
        <v>64</v>
      </c>
      <c r="AF162" s="1">
        <v>0</v>
      </c>
      <c r="AG162" s="1">
        <v>52</v>
      </c>
      <c r="AH162" s="1">
        <v>227</v>
      </c>
      <c r="AI162" s="1">
        <v>0</v>
      </c>
      <c r="AJ162" s="1">
        <v>0</v>
      </c>
      <c r="AK162" s="1">
        <v>3</v>
      </c>
      <c r="AL162" s="1">
        <v>0</v>
      </c>
      <c r="AM162" s="1">
        <v>0</v>
      </c>
      <c r="AN162" s="1">
        <v>0</v>
      </c>
    </row>
    <row r="163" spans="1:40" x14ac:dyDescent="0.3">
      <c r="A163" s="10">
        <v>45909</v>
      </c>
      <c r="B163" s="1">
        <v>897</v>
      </c>
      <c r="C163" s="1">
        <v>57</v>
      </c>
      <c r="D163" s="1">
        <v>0</v>
      </c>
      <c r="E163" s="1">
        <v>0</v>
      </c>
      <c r="F163" s="1">
        <v>1113</v>
      </c>
      <c r="G163" s="1">
        <v>201</v>
      </c>
      <c r="H163" s="1">
        <v>12</v>
      </c>
      <c r="I163" s="1">
        <v>0</v>
      </c>
      <c r="J163" s="1"/>
      <c r="K163" s="1">
        <v>0</v>
      </c>
      <c r="L163" s="1">
        <v>577</v>
      </c>
      <c r="M163" s="1">
        <v>0</v>
      </c>
      <c r="N163" s="1">
        <v>0</v>
      </c>
      <c r="O163" s="1">
        <v>6</v>
      </c>
      <c r="P163" s="1">
        <v>0</v>
      </c>
      <c r="Q163" s="1">
        <v>0</v>
      </c>
      <c r="R163" s="1">
        <v>404</v>
      </c>
      <c r="S163" s="1">
        <v>493</v>
      </c>
      <c r="T163" s="1">
        <v>0</v>
      </c>
      <c r="U163" s="1">
        <v>42</v>
      </c>
      <c r="V163" s="1">
        <v>15</v>
      </c>
      <c r="W163" s="1">
        <v>0</v>
      </c>
      <c r="X163" s="1">
        <v>0</v>
      </c>
      <c r="Y163" s="1">
        <v>0</v>
      </c>
      <c r="Z163" s="1">
        <v>0</v>
      </c>
      <c r="AA163" s="1">
        <v>0</v>
      </c>
      <c r="AB163" s="1">
        <v>0</v>
      </c>
      <c r="AC163" s="1">
        <v>0</v>
      </c>
      <c r="AD163" s="1">
        <v>975</v>
      </c>
      <c r="AE163" s="1">
        <v>138</v>
      </c>
      <c r="AF163" s="1">
        <v>0</v>
      </c>
      <c r="AG163" s="1">
        <v>45</v>
      </c>
      <c r="AH163" s="1">
        <v>156</v>
      </c>
      <c r="AI163" s="1">
        <v>0</v>
      </c>
      <c r="AJ163" s="1">
        <v>3</v>
      </c>
      <c r="AK163" s="1">
        <v>9</v>
      </c>
      <c r="AL163" s="1">
        <v>0</v>
      </c>
      <c r="AM163" s="1">
        <v>0</v>
      </c>
      <c r="AN163" s="1">
        <v>0</v>
      </c>
    </row>
    <row r="164" spans="1:40" x14ac:dyDescent="0.3">
      <c r="A164" s="10">
        <v>45910</v>
      </c>
      <c r="B164" s="1">
        <v>1152</v>
      </c>
      <c r="C164" s="1">
        <v>170</v>
      </c>
      <c r="D164" s="1">
        <v>0</v>
      </c>
      <c r="E164" s="1">
        <v>0</v>
      </c>
      <c r="F164" s="1">
        <v>722</v>
      </c>
      <c r="G164" s="1">
        <v>275</v>
      </c>
      <c r="H164" s="1">
        <v>2</v>
      </c>
      <c r="I164" s="1">
        <v>0</v>
      </c>
      <c r="J164" s="1"/>
      <c r="K164" s="1">
        <v>0</v>
      </c>
      <c r="L164" s="1">
        <v>521</v>
      </c>
      <c r="M164" s="1">
        <v>0</v>
      </c>
      <c r="N164" s="1">
        <v>0</v>
      </c>
      <c r="O164" s="1">
        <v>41</v>
      </c>
      <c r="P164" s="1">
        <v>0</v>
      </c>
      <c r="Q164" s="1">
        <v>0</v>
      </c>
      <c r="R164" s="1">
        <v>606</v>
      </c>
      <c r="S164" s="1">
        <v>546</v>
      </c>
      <c r="T164" s="1">
        <v>0</v>
      </c>
      <c r="U164" s="1">
        <v>137</v>
      </c>
      <c r="V164" s="1">
        <v>33</v>
      </c>
      <c r="W164" s="1">
        <v>0</v>
      </c>
      <c r="X164" s="1">
        <v>0</v>
      </c>
      <c r="Y164" s="1">
        <v>0</v>
      </c>
      <c r="Z164" s="1">
        <v>0</v>
      </c>
      <c r="AA164" s="1">
        <v>0</v>
      </c>
      <c r="AB164" s="1">
        <v>0</v>
      </c>
      <c r="AC164" s="1">
        <v>0</v>
      </c>
      <c r="AD164" s="1">
        <v>648</v>
      </c>
      <c r="AE164" s="1">
        <v>74</v>
      </c>
      <c r="AF164" s="1">
        <v>0</v>
      </c>
      <c r="AG164" s="1">
        <v>62</v>
      </c>
      <c r="AH164" s="1">
        <v>213</v>
      </c>
      <c r="AI164" s="1">
        <v>0</v>
      </c>
      <c r="AJ164" s="1">
        <v>2</v>
      </c>
      <c r="AK164" s="1">
        <v>0</v>
      </c>
      <c r="AL164" s="1">
        <v>0</v>
      </c>
      <c r="AM164" s="1">
        <v>0</v>
      </c>
      <c r="AN164" s="1">
        <v>0</v>
      </c>
    </row>
    <row r="165" spans="1:40" x14ac:dyDescent="0.3">
      <c r="A165" s="10">
        <v>45911</v>
      </c>
      <c r="B165" s="1">
        <v>972</v>
      </c>
      <c r="C165" s="1">
        <v>172</v>
      </c>
      <c r="D165" s="1">
        <v>3</v>
      </c>
      <c r="E165" s="1">
        <v>1</v>
      </c>
      <c r="F165" s="1">
        <v>754</v>
      </c>
      <c r="G165" s="1">
        <v>371</v>
      </c>
      <c r="H165" s="1">
        <v>6</v>
      </c>
      <c r="I165" s="1">
        <v>0</v>
      </c>
      <c r="J165" s="1"/>
      <c r="K165" s="1">
        <v>0</v>
      </c>
      <c r="L165" s="1">
        <v>737</v>
      </c>
      <c r="M165" s="1">
        <v>0</v>
      </c>
      <c r="N165" s="1">
        <v>0</v>
      </c>
      <c r="O165" s="1">
        <v>1</v>
      </c>
      <c r="P165" s="1">
        <v>0</v>
      </c>
      <c r="Q165" s="1">
        <v>0</v>
      </c>
      <c r="R165" s="1">
        <v>502</v>
      </c>
      <c r="S165" s="1">
        <v>470</v>
      </c>
      <c r="T165" s="1">
        <v>0</v>
      </c>
      <c r="U165" s="1">
        <v>135</v>
      </c>
      <c r="V165" s="1">
        <v>37</v>
      </c>
      <c r="W165" s="1">
        <v>0</v>
      </c>
      <c r="X165" s="1">
        <v>3</v>
      </c>
      <c r="Y165" s="1">
        <v>0</v>
      </c>
      <c r="Z165" s="1">
        <v>0</v>
      </c>
      <c r="AA165" s="1">
        <v>1</v>
      </c>
      <c r="AB165" s="1">
        <v>0</v>
      </c>
      <c r="AC165" s="1">
        <v>0</v>
      </c>
      <c r="AD165" s="1">
        <v>695</v>
      </c>
      <c r="AE165" s="1">
        <v>59</v>
      </c>
      <c r="AF165" s="1">
        <v>0</v>
      </c>
      <c r="AG165" s="1">
        <v>51</v>
      </c>
      <c r="AH165" s="1">
        <v>320</v>
      </c>
      <c r="AI165" s="1">
        <v>0</v>
      </c>
      <c r="AJ165" s="1">
        <v>4</v>
      </c>
      <c r="AK165" s="1">
        <v>2</v>
      </c>
      <c r="AL165" s="1">
        <v>0</v>
      </c>
      <c r="AM165" s="1">
        <v>0</v>
      </c>
      <c r="AN165" s="1">
        <v>0</v>
      </c>
    </row>
    <row r="166" spans="1:40" x14ac:dyDescent="0.3">
      <c r="A166" s="10">
        <v>45912</v>
      </c>
      <c r="B166" s="1">
        <v>833</v>
      </c>
      <c r="C166" s="1">
        <v>166</v>
      </c>
      <c r="D166" s="1">
        <v>0</v>
      </c>
      <c r="E166" s="1">
        <v>0</v>
      </c>
      <c r="F166" s="1">
        <v>684</v>
      </c>
      <c r="G166" s="1">
        <v>331</v>
      </c>
      <c r="H166" s="1">
        <v>6</v>
      </c>
      <c r="I166" s="1">
        <v>0</v>
      </c>
      <c r="J166" s="1"/>
      <c r="K166" s="1">
        <v>0</v>
      </c>
      <c r="L166" s="1">
        <v>1345</v>
      </c>
      <c r="M166" s="1">
        <v>0</v>
      </c>
      <c r="N166" s="1">
        <v>0</v>
      </c>
      <c r="O166" s="1">
        <v>1</v>
      </c>
      <c r="P166" s="1">
        <v>0</v>
      </c>
      <c r="Q166" s="1">
        <v>0</v>
      </c>
      <c r="R166" s="1">
        <v>439</v>
      </c>
      <c r="S166" s="1">
        <v>394</v>
      </c>
      <c r="T166" s="1">
        <v>0</v>
      </c>
      <c r="U166" s="1">
        <v>125</v>
      </c>
      <c r="V166" s="1">
        <v>41</v>
      </c>
      <c r="W166" s="1">
        <v>0</v>
      </c>
      <c r="X166" s="1">
        <v>0</v>
      </c>
      <c r="Y166" s="1">
        <v>0</v>
      </c>
      <c r="Z166" s="1">
        <v>0</v>
      </c>
      <c r="AA166" s="1">
        <v>0</v>
      </c>
      <c r="AB166" s="1">
        <v>0</v>
      </c>
      <c r="AC166" s="1">
        <v>0</v>
      </c>
      <c r="AD166" s="1">
        <v>644</v>
      </c>
      <c r="AE166" s="1">
        <v>40</v>
      </c>
      <c r="AF166" s="1">
        <v>0</v>
      </c>
      <c r="AG166" s="1">
        <v>47</v>
      </c>
      <c r="AH166" s="1">
        <v>284</v>
      </c>
      <c r="AI166" s="1">
        <v>0</v>
      </c>
      <c r="AJ166" s="1">
        <v>6</v>
      </c>
      <c r="AK166" s="1">
        <v>0</v>
      </c>
      <c r="AL166" s="1">
        <v>0</v>
      </c>
      <c r="AM166" s="1">
        <v>0</v>
      </c>
      <c r="AN166" s="1">
        <v>0</v>
      </c>
    </row>
    <row r="167" spans="1:40" x14ac:dyDescent="0.3">
      <c r="A167" s="10">
        <v>45913</v>
      </c>
      <c r="B167" s="1">
        <v>879</v>
      </c>
      <c r="C167" s="1">
        <v>173</v>
      </c>
      <c r="D167" s="1">
        <v>0</v>
      </c>
      <c r="E167" s="1">
        <v>0</v>
      </c>
      <c r="F167" s="1">
        <v>575</v>
      </c>
      <c r="G167" s="1">
        <v>263</v>
      </c>
      <c r="H167" s="1">
        <v>3</v>
      </c>
      <c r="I167" s="1">
        <v>0</v>
      </c>
      <c r="J167" s="1"/>
      <c r="K167" s="1">
        <v>0</v>
      </c>
      <c r="L167" s="1">
        <v>1236</v>
      </c>
      <c r="M167" s="1">
        <v>0</v>
      </c>
      <c r="N167" s="1">
        <v>0</v>
      </c>
      <c r="O167" s="1">
        <v>4</v>
      </c>
      <c r="P167" s="1">
        <v>0</v>
      </c>
      <c r="Q167" s="1">
        <v>0</v>
      </c>
      <c r="R167" s="1">
        <v>471</v>
      </c>
      <c r="S167" s="1">
        <v>408</v>
      </c>
      <c r="T167" s="1">
        <v>0</v>
      </c>
      <c r="U167" s="1">
        <v>131</v>
      </c>
      <c r="V167" s="1">
        <v>42</v>
      </c>
      <c r="W167" s="1">
        <v>0</v>
      </c>
      <c r="X167" s="1">
        <v>0</v>
      </c>
      <c r="Y167" s="1">
        <v>0</v>
      </c>
      <c r="Z167" s="1">
        <v>0</v>
      </c>
      <c r="AA167" s="1">
        <v>0</v>
      </c>
      <c r="AB167" s="1">
        <v>0</v>
      </c>
      <c r="AC167" s="1">
        <v>0</v>
      </c>
      <c r="AD167" s="1">
        <v>516</v>
      </c>
      <c r="AE167" s="1">
        <v>59</v>
      </c>
      <c r="AF167" s="1">
        <v>0</v>
      </c>
      <c r="AG167" s="1">
        <v>22</v>
      </c>
      <c r="AH167" s="1">
        <v>241</v>
      </c>
      <c r="AI167" s="1">
        <v>0</v>
      </c>
      <c r="AJ167" s="1">
        <v>3</v>
      </c>
      <c r="AK167" s="1">
        <v>0</v>
      </c>
      <c r="AL167" s="1">
        <v>0</v>
      </c>
      <c r="AM167" s="1">
        <v>0</v>
      </c>
      <c r="AN167" s="1">
        <v>0</v>
      </c>
    </row>
    <row r="168" spans="1:40" x14ac:dyDescent="0.3">
      <c r="A168" s="10">
        <v>45914</v>
      </c>
      <c r="B168" s="1">
        <v>694</v>
      </c>
      <c r="C168" s="1">
        <v>139</v>
      </c>
      <c r="D168" s="1">
        <v>0</v>
      </c>
      <c r="E168" s="1">
        <v>0</v>
      </c>
      <c r="F168" s="1">
        <v>741</v>
      </c>
      <c r="G168" s="1">
        <v>398</v>
      </c>
      <c r="H168" s="1">
        <v>6</v>
      </c>
      <c r="I168" s="1">
        <v>0</v>
      </c>
      <c r="J168" s="1"/>
      <c r="K168" s="1">
        <v>0</v>
      </c>
      <c r="L168" s="1">
        <v>700</v>
      </c>
      <c r="M168" s="1">
        <v>0</v>
      </c>
      <c r="N168" s="1">
        <v>0</v>
      </c>
      <c r="O168" s="1">
        <v>6</v>
      </c>
      <c r="P168" s="1">
        <v>0</v>
      </c>
      <c r="Q168" s="1">
        <v>0</v>
      </c>
      <c r="R168" s="1">
        <v>393</v>
      </c>
      <c r="S168" s="1">
        <v>301</v>
      </c>
      <c r="T168" s="1">
        <v>0</v>
      </c>
      <c r="U168" s="1">
        <v>116</v>
      </c>
      <c r="V168" s="1">
        <v>23</v>
      </c>
      <c r="W168" s="1">
        <v>0</v>
      </c>
      <c r="X168" s="1">
        <v>0</v>
      </c>
      <c r="Y168" s="1">
        <v>0</v>
      </c>
      <c r="Z168" s="1">
        <v>0</v>
      </c>
      <c r="AA168" s="1">
        <v>0</v>
      </c>
      <c r="AB168" s="1">
        <v>0</v>
      </c>
      <c r="AC168" s="1">
        <v>0</v>
      </c>
      <c r="AD168" s="1">
        <v>650</v>
      </c>
      <c r="AE168" s="1">
        <v>91</v>
      </c>
      <c r="AF168" s="1">
        <v>0</v>
      </c>
      <c r="AG168" s="1">
        <v>56</v>
      </c>
      <c r="AH168" s="1">
        <v>342</v>
      </c>
      <c r="AI168" s="1">
        <v>0</v>
      </c>
      <c r="AJ168" s="1">
        <v>3</v>
      </c>
      <c r="AK168" s="1">
        <v>3</v>
      </c>
      <c r="AL168" s="1">
        <v>0</v>
      </c>
      <c r="AM168" s="1">
        <v>0</v>
      </c>
      <c r="AN168" s="1">
        <v>0</v>
      </c>
    </row>
    <row r="169" spans="1:40" x14ac:dyDescent="0.3">
      <c r="A169" s="10">
        <v>45915</v>
      </c>
      <c r="B169" s="1">
        <v>541</v>
      </c>
      <c r="C169" s="1">
        <v>156</v>
      </c>
      <c r="D169" s="1">
        <v>0</v>
      </c>
      <c r="E169" s="1">
        <v>0</v>
      </c>
      <c r="F169" s="1">
        <v>606</v>
      </c>
      <c r="G169" s="1">
        <v>380</v>
      </c>
      <c r="H169" s="1">
        <v>2</v>
      </c>
      <c r="I169" s="1">
        <v>0</v>
      </c>
      <c r="J169" s="1"/>
      <c r="K169" s="1">
        <v>0</v>
      </c>
      <c r="L169" s="1">
        <v>325</v>
      </c>
      <c r="M169" s="1">
        <v>0</v>
      </c>
      <c r="N169" s="1">
        <v>0</v>
      </c>
      <c r="O169" s="1">
        <v>14</v>
      </c>
      <c r="P169" s="1">
        <v>0</v>
      </c>
      <c r="Q169" s="1">
        <v>0</v>
      </c>
      <c r="R169" s="1">
        <v>352</v>
      </c>
      <c r="S169" s="1">
        <v>189</v>
      </c>
      <c r="T169" s="1">
        <v>0</v>
      </c>
      <c r="U169" s="1">
        <v>123</v>
      </c>
      <c r="V169" s="1">
        <v>33</v>
      </c>
      <c r="W169" s="1">
        <v>0</v>
      </c>
      <c r="X169" s="1">
        <v>0</v>
      </c>
      <c r="Y169" s="1">
        <v>0</v>
      </c>
      <c r="Z169" s="1">
        <v>0</v>
      </c>
      <c r="AA169" s="1">
        <v>0</v>
      </c>
      <c r="AB169" s="1">
        <v>0</v>
      </c>
      <c r="AC169" s="1">
        <v>0</v>
      </c>
      <c r="AD169" s="1">
        <v>531</v>
      </c>
      <c r="AE169" s="1">
        <v>75</v>
      </c>
      <c r="AF169" s="1">
        <v>0</v>
      </c>
      <c r="AG169" s="1">
        <v>61</v>
      </c>
      <c r="AH169" s="1">
        <v>319</v>
      </c>
      <c r="AI169" s="1">
        <v>0</v>
      </c>
      <c r="AJ169" s="1">
        <v>2</v>
      </c>
      <c r="AK169" s="1">
        <v>0</v>
      </c>
      <c r="AL169" s="1">
        <v>0</v>
      </c>
      <c r="AM169" s="1">
        <v>0</v>
      </c>
      <c r="AN169" s="1">
        <v>0</v>
      </c>
    </row>
    <row r="170" spans="1:40" x14ac:dyDescent="0.3">
      <c r="A170" s="10">
        <v>45916</v>
      </c>
      <c r="B170" s="1">
        <v>757</v>
      </c>
      <c r="C170" s="1">
        <v>246</v>
      </c>
      <c r="D170" s="1">
        <v>0</v>
      </c>
      <c r="E170" s="1">
        <v>0</v>
      </c>
      <c r="F170" s="1">
        <v>634</v>
      </c>
      <c r="G170" s="1">
        <v>427</v>
      </c>
      <c r="H170" s="1">
        <v>3</v>
      </c>
      <c r="I170" s="1">
        <v>0</v>
      </c>
      <c r="J170" s="1"/>
      <c r="K170" s="1">
        <v>0</v>
      </c>
      <c r="L170" s="1">
        <v>353</v>
      </c>
      <c r="M170" s="1">
        <v>0</v>
      </c>
      <c r="N170" s="1">
        <v>0</v>
      </c>
      <c r="O170" s="1">
        <v>0</v>
      </c>
      <c r="P170" s="1">
        <v>0</v>
      </c>
      <c r="Q170" s="1">
        <v>0</v>
      </c>
      <c r="R170" s="1">
        <v>456</v>
      </c>
      <c r="S170" s="1">
        <v>301</v>
      </c>
      <c r="T170" s="1">
        <v>0</v>
      </c>
      <c r="U170" s="1">
        <v>210</v>
      </c>
      <c r="V170" s="1">
        <v>36</v>
      </c>
      <c r="W170" s="1">
        <v>0</v>
      </c>
      <c r="X170" s="1">
        <v>0</v>
      </c>
      <c r="Y170" s="1">
        <v>0</v>
      </c>
      <c r="Z170" s="1">
        <v>0</v>
      </c>
      <c r="AA170" s="1">
        <v>0</v>
      </c>
      <c r="AB170" s="1">
        <v>0</v>
      </c>
      <c r="AC170" s="1">
        <v>0</v>
      </c>
      <c r="AD170" s="1">
        <v>567</v>
      </c>
      <c r="AE170" s="1">
        <v>67</v>
      </c>
      <c r="AF170" s="1">
        <v>0</v>
      </c>
      <c r="AG170" s="1">
        <v>55</v>
      </c>
      <c r="AH170" s="1">
        <v>372</v>
      </c>
      <c r="AI170" s="1">
        <v>0</v>
      </c>
      <c r="AJ170" s="1">
        <v>3</v>
      </c>
      <c r="AK170" s="1">
        <v>0</v>
      </c>
      <c r="AL170" s="1">
        <v>0</v>
      </c>
      <c r="AM170" s="1">
        <v>0</v>
      </c>
      <c r="AN170" s="1">
        <v>0</v>
      </c>
    </row>
    <row r="171" spans="1:40" x14ac:dyDescent="0.3">
      <c r="A171" s="10">
        <v>45917</v>
      </c>
      <c r="B171" s="1">
        <v>1247</v>
      </c>
      <c r="C171" s="1">
        <v>261</v>
      </c>
      <c r="D171" s="1">
        <v>0</v>
      </c>
      <c r="E171" s="1">
        <v>0</v>
      </c>
      <c r="F171" s="1">
        <v>745</v>
      </c>
      <c r="G171" s="1">
        <v>418</v>
      </c>
      <c r="H171" s="1">
        <v>7</v>
      </c>
      <c r="I171" s="1">
        <v>0</v>
      </c>
      <c r="J171" s="1"/>
      <c r="K171" s="1">
        <v>0</v>
      </c>
      <c r="L171" s="1">
        <v>279</v>
      </c>
      <c r="M171" s="1">
        <v>0</v>
      </c>
      <c r="N171" s="1">
        <v>0</v>
      </c>
      <c r="O171" s="1">
        <v>10</v>
      </c>
      <c r="P171" s="1">
        <v>0</v>
      </c>
      <c r="Q171" s="1">
        <v>0</v>
      </c>
      <c r="R171" s="1">
        <v>746</v>
      </c>
      <c r="S171" s="1">
        <v>501</v>
      </c>
      <c r="T171" s="1">
        <v>0</v>
      </c>
      <c r="U171" s="1">
        <v>224</v>
      </c>
      <c r="V171" s="1">
        <v>37</v>
      </c>
      <c r="W171" s="1">
        <v>0</v>
      </c>
      <c r="X171" s="1">
        <v>0</v>
      </c>
      <c r="Y171" s="1">
        <v>0</v>
      </c>
      <c r="Z171" s="1">
        <v>0</v>
      </c>
      <c r="AA171" s="1">
        <v>0</v>
      </c>
      <c r="AB171" s="1">
        <v>0</v>
      </c>
      <c r="AC171" s="1">
        <v>0</v>
      </c>
      <c r="AD171" s="1">
        <v>664</v>
      </c>
      <c r="AE171" s="1">
        <v>81</v>
      </c>
      <c r="AF171" s="1">
        <v>0</v>
      </c>
      <c r="AG171" s="1">
        <v>62</v>
      </c>
      <c r="AH171" s="1">
        <v>356</v>
      </c>
      <c r="AI171" s="1">
        <v>0</v>
      </c>
      <c r="AJ171" s="1">
        <v>1</v>
      </c>
      <c r="AK171" s="1">
        <v>6</v>
      </c>
      <c r="AL171" s="1">
        <v>0</v>
      </c>
      <c r="AM171" s="1">
        <v>0</v>
      </c>
      <c r="AN171" s="1">
        <v>0</v>
      </c>
    </row>
    <row r="172" spans="1:40" x14ac:dyDescent="0.3">
      <c r="A172" s="10">
        <v>45918</v>
      </c>
      <c r="B172" s="1">
        <v>967</v>
      </c>
      <c r="C172" s="1">
        <v>214</v>
      </c>
      <c r="D172" s="1">
        <v>0</v>
      </c>
      <c r="E172" s="1">
        <v>0</v>
      </c>
      <c r="F172" s="1">
        <v>824</v>
      </c>
      <c r="G172" s="1">
        <v>394</v>
      </c>
      <c r="H172" s="1">
        <v>2</v>
      </c>
      <c r="I172" s="1">
        <v>0</v>
      </c>
      <c r="J172" s="1"/>
      <c r="K172" s="1">
        <v>0</v>
      </c>
      <c r="L172" s="1">
        <v>172</v>
      </c>
      <c r="M172" s="1">
        <v>0</v>
      </c>
      <c r="N172" s="1">
        <v>0</v>
      </c>
      <c r="O172" s="1">
        <v>0</v>
      </c>
      <c r="P172" s="1">
        <v>0</v>
      </c>
      <c r="Q172" s="1">
        <v>0</v>
      </c>
      <c r="R172" s="1">
        <v>641</v>
      </c>
      <c r="S172" s="1">
        <v>326</v>
      </c>
      <c r="T172" s="1">
        <v>0</v>
      </c>
      <c r="U172" s="1">
        <v>181</v>
      </c>
      <c r="V172" s="1">
        <v>33</v>
      </c>
      <c r="W172" s="1">
        <v>0</v>
      </c>
      <c r="X172" s="1">
        <v>0</v>
      </c>
      <c r="Y172" s="1">
        <v>0</v>
      </c>
      <c r="Z172" s="1">
        <v>0</v>
      </c>
      <c r="AA172" s="1">
        <v>0</v>
      </c>
      <c r="AB172" s="1">
        <v>0</v>
      </c>
      <c r="AC172" s="1">
        <v>0</v>
      </c>
      <c r="AD172" s="1">
        <v>754</v>
      </c>
      <c r="AE172" s="1">
        <v>70</v>
      </c>
      <c r="AF172" s="1">
        <v>0</v>
      </c>
      <c r="AG172" s="1">
        <v>44</v>
      </c>
      <c r="AH172" s="1">
        <v>350</v>
      </c>
      <c r="AI172" s="1">
        <v>0</v>
      </c>
      <c r="AJ172" s="1">
        <v>2</v>
      </c>
      <c r="AK172" s="1">
        <v>0</v>
      </c>
      <c r="AL172" s="1">
        <v>0</v>
      </c>
      <c r="AM172" s="1">
        <v>0</v>
      </c>
      <c r="AN172" s="1">
        <v>0</v>
      </c>
    </row>
    <row r="173" spans="1:40" x14ac:dyDescent="0.3">
      <c r="A173" s="10">
        <v>45919</v>
      </c>
      <c r="B173" s="1">
        <v>767</v>
      </c>
      <c r="C173" s="1">
        <v>221</v>
      </c>
      <c r="D173" s="1">
        <v>0</v>
      </c>
      <c r="E173" s="1">
        <v>1</v>
      </c>
      <c r="F173" s="1">
        <v>488</v>
      </c>
      <c r="G173" s="1">
        <v>170</v>
      </c>
      <c r="H173" s="1">
        <v>1</v>
      </c>
      <c r="I173" s="1">
        <v>0</v>
      </c>
      <c r="J173" s="1"/>
      <c r="K173" s="1">
        <v>0</v>
      </c>
      <c r="L173" s="1">
        <v>184</v>
      </c>
      <c r="M173" s="1">
        <v>0</v>
      </c>
      <c r="N173" s="1">
        <v>0</v>
      </c>
      <c r="O173" s="1">
        <v>19</v>
      </c>
      <c r="P173" s="1">
        <v>0</v>
      </c>
      <c r="Q173" s="1">
        <v>0</v>
      </c>
      <c r="R173" s="1">
        <v>488</v>
      </c>
      <c r="S173" s="1">
        <v>279</v>
      </c>
      <c r="T173" s="1">
        <v>0</v>
      </c>
      <c r="U173" s="1">
        <v>196</v>
      </c>
      <c r="V173" s="1">
        <v>25</v>
      </c>
      <c r="W173" s="1">
        <v>0</v>
      </c>
      <c r="X173" s="1">
        <v>0</v>
      </c>
      <c r="Y173" s="1">
        <v>0</v>
      </c>
      <c r="Z173" s="1">
        <v>0</v>
      </c>
      <c r="AA173" s="1">
        <v>1</v>
      </c>
      <c r="AB173" s="1">
        <v>0</v>
      </c>
      <c r="AC173" s="1">
        <v>0</v>
      </c>
      <c r="AD173" s="1">
        <v>439</v>
      </c>
      <c r="AE173" s="1">
        <v>49</v>
      </c>
      <c r="AF173" s="1">
        <v>0</v>
      </c>
      <c r="AG173" s="1">
        <v>32</v>
      </c>
      <c r="AH173" s="1">
        <v>138</v>
      </c>
      <c r="AI173" s="1">
        <v>0</v>
      </c>
      <c r="AJ173" s="1">
        <v>0</v>
      </c>
      <c r="AK173" s="1">
        <v>1</v>
      </c>
      <c r="AL173" s="1">
        <v>0</v>
      </c>
      <c r="AM173" s="1">
        <v>0</v>
      </c>
      <c r="AN173" s="1">
        <v>0</v>
      </c>
    </row>
    <row r="174" spans="1:40" x14ac:dyDescent="0.3">
      <c r="A174" s="10">
        <v>45920</v>
      </c>
      <c r="B174" s="1">
        <v>1125</v>
      </c>
      <c r="C174" s="1">
        <v>204</v>
      </c>
      <c r="D174" s="1">
        <v>0</v>
      </c>
      <c r="E174" s="1">
        <v>0</v>
      </c>
      <c r="F174" s="1">
        <v>504</v>
      </c>
      <c r="G174" s="1">
        <v>96</v>
      </c>
      <c r="H174" s="1">
        <v>2</v>
      </c>
      <c r="I174" s="1">
        <v>0</v>
      </c>
      <c r="J174" s="1"/>
      <c r="K174" s="1">
        <v>0</v>
      </c>
      <c r="L174" s="1">
        <v>107</v>
      </c>
      <c r="M174" s="1">
        <v>0</v>
      </c>
      <c r="N174" s="1">
        <v>0</v>
      </c>
      <c r="O174" s="1">
        <v>5</v>
      </c>
      <c r="P174" s="1">
        <v>0</v>
      </c>
      <c r="Q174" s="1">
        <v>0</v>
      </c>
      <c r="R174" s="1">
        <v>760</v>
      </c>
      <c r="S174" s="1">
        <v>365</v>
      </c>
      <c r="T174" s="1">
        <v>0</v>
      </c>
      <c r="U174" s="1">
        <v>174</v>
      </c>
      <c r="V174" s="1">
        <v>30</v>
      </c>
      <c r="W174" s="1">
        <v>0</v>
      </c>
      <c r="X174" s="1">
        <v>0</v>
      </c>
      <c r="Y174" s="1">
        <v>0</v>
      </c>
      <c r="Z174" s="1">
        <v>0</v>
      </c>
      <c r="AA174" s="1">
        <v>0</v>
      </c>
      <c r="AB174" s="1">
        <v>0</v>
      </c>
      <c r="AC174" s="1">
        <v>0</v>
      </c>
      <c r="AD174" s="1">
        <v>456</v>
      </c>
      <c r="AE174" s="1">
        <v>48</v>
      </c>
      <c r="AF174" s="1">
        <v>0</v>
      </c>
      <c r="AG174" s="1">
        <v>21</v>
      </c>
      <c r="AH174" s="1">
        <v>75</v>
      </c>
      <c r="AI174" s="1">
        <v>0</v>
      </c>
      <c r="AJ174" s="1">
        <v>0</v>
      </c>
      <c r="AK174" s="1">
        <v>2</v>
      </c>
      <c r="AL174" s="1">
        <v>0</v>
      </c>
      <c r="AM174" s="1">
        <v>0</v>
      </c>
      <c r="AN174" s="1">
        <v>0</v>
      </c>
    </row>
    <row r="175" spans="1:40" x14ac:dyDescent="0.3">
      <c r="A175" s="10">
        <v>45921</v>
      </c>
      <c r="B175" s="1">
        <v>1111</v>
      </c>
      <c r="C175" s="1">
        <v>334</v>
      </c>
      <c r="D175" s="1">
        <v>0</v>
      </c>
      <c r="E175" s="1">
        <v>1</v>
      </c>
      <c r="F175" s="1">
        <v>764</v>
      </c>
      <c r="G175" s="1">
        <v>288</v>
      </c>
      <c r="H175" s="1">
        <v>5</v>
      </c>
      <c r="I175" s="1">
        <v>1</v>
      </c>
      <c r="J175" s="1"/>
      <c r="K175" s="1">
        <v>0</v>
      </c>
      <c r="L175" s="1">
        <v>86</v>
      </c>
      <c r="M175" s="1">
        <v>0</v>
      </c>
      <c r="N175" s="1">
        <v>0</v>
      </c>
      <c r="O175" s="1">
        <v>6</v>
      </c>
      <c r="P175" s="1">
        <v>0</v>
      </c>
      <c r="Q175" s="1">
        <v>0</v>
      </c>
      <c r="R175" s="1">
        <v>728</v>
      </c>
      <c r="S175" s="1">
        <v>383</v>
      </c>
      <c r="T175" s="1">
        <v>0</v>
      </c>
      <c r="U175" s="1">
        <v>266</v>
      </c>
      <c r="V175" s="1">
        <v>68</v>
      </c>
      <c r="W175" s="1">
        <v>0</v>
      </c>
      <c r="X175" s="1">
        <v>0</v>
      </c>
      <c r="Y175" s="1">
        <v>0</v>
      </c>
      <c r="Z175" s="1">
        <v>0</v>
      </c>
      <c r="AA175" s="1">
        <v>1</v>
      </c>
      <c r="AB175" s="1">
        <v>0</v>
      </c>
      <c r="AC175" s="1">
        <v>0</v>
      </c>
      <c r="AD175" s="1">
        <v>692</v>
      </c>
      <c r="AE175" s="1">
        <v>72</v>
      </c>
      <c r="AF175" s="1">
        <v>0</v>
      </c>
      <c r="AG175" s="1">
        <v>60</v>
      </c>
      <c r="AH175" s="1">
        <v>228</v>
      </c>
      <c r="AI175" s="1">
        <v>0</v>
      </c>
      <c r="AJ175" s="1">
        <v>2</v>
      </c>
      <c r="AK175" s="1">
        <v>3</v>
      </c>
      <c r="AL175" s="1">
        <v>0</v>
      </c>
      <c r="AM175" s="1">
        <v>1</v>
      </c>
      <c r="AN175" s="1">
        <v>0</v>
      </c>
    </row>
    <row r="176" spans="1:40" x14ac:dyDescent="0.3">
      <c r="A176" s="10">
        <v>45922</v>
      </c>
      <c r="B176" s="1">
        <v>474</v>
      </c>
      <c r="C176" s="1">
        <v>186</v>
      </c>
      <c r="D176" s="1">
        <v>2</v>
      </c>
      <c r="E176" s="1">
        <v>1</v>
      </c>
      <c r="F176" s="1">
        <v>842</v>
      </c>
      <c r="G176" s="1">
        <v>260</v>
      </c>
      <c r="H176" s="1">
        <v>4</v>
      </c>
      <c r="I176" s="1">
        <v>0</v>
      </c>
      <c r="J176" s="1"/>
      <c r="K176" s="1">
        <v>0</v>
      </c>
      <c r="L176" s="1">
        <v>61</v>
      </c>
      <c r="M176" s="1">
        <v>0</v>
      </c>
      <c r="N176" s="1">
        <v>0</v>
      </c>
      <c r="O176" s="1">
        <v>2</v>
      </c>
      <c r="P176" s="1">
        <v>0</v>
      </c>
      <c r="Q176" s="1">
        <v>0</v>
      </c>
      <c r="R176" s="1">
        <v>335</v>
      </c>
      <c r="S176" s="1">
        <v>139</v>
      </c>
      <c r="T176" s="1">
        <v>0</v>
      </c>
      <c r="U176" s="1">
        <v>151</v>
      </c>
      <c r="V176" s="1">
        <v>35</v>
      </c>
      <c r="W176" s="1">
        <v>0</v>
      </c>
      <c r="X176" s="1">
        <v>2</v>
      </c>
      <c r="Y176" s="1">
        <v>0</v>
      </c>
      <c r="Z176" s="1">
        <v>0</v>
      </c>
      <c r="AA176" s="1">
        <v>1</v>
      </c>
      <c r="AB176" s="1">
        <v>0</v>
      </c>
      <c r="AC176" s="1">
        <v>0</v>
      </c>
      <c r="AD176" s="1">
        <v>759</v>
      </c>
      <c r="AE176" s="1">
        <v>83</v>
      </c>
      <c r="AF176" s="1">
        <v>0</v>
      </c>
      <c r="AG176" s="1">
        <v>42</v>
      </c>
      <c r="AH176" s="1">
        <v>218</v>
      </c>
      <c r="AI176" s="1">
        <v>0</v>
      </c>
      <c r="AJ176" s="1">
        <v>2</v>
      </c>
      <c r="AK176" s="1">
        <v>2</v>
      </c>
      <c r="AL176" s="1">
        <v>0</v>
      </c>
      <c r="AM176" s="1">
        <v>0</v>
      </c>
      <c r="AN176" s="1">
        <v>0</v>
      </c>
    </row>
    <row r="177" spans="1:40" x14ac:dyDescent="0.3">
      <c r="A177" s="10">
        <v>45923</v>
      </c>
      <c r="B177" s="1">
        <v>237</v>
      </c>
      <c r="C177" s="1">
        <v>106</v>
      </c>
      <c r="D177" s="1">
        <v>0</v>
      </c>
      <c r="E177" s="1">
        <v>0</v>
      </c>
      <c r="F177" s="1">
        <v>565</v>
      </c>
      <c r="G177" s="1">
        <v>170</v>
      </c>
      <c r="H177" s="1">
        <v>2</v>
      </c>
      <c r="I177" s="1">
        <v>0</v>
      </c>
      <c r="J177" s="1"/>
      <c r="K177" s="1">
        <v>0</v>
      </c>
      <c r="L177" s="1">
        <v>40</v>
      </c>
      <c r="M177" s="1">
        <v>0</v>
      </c>
      <c r="N177" s="1">
        <v>0</v>
      </c>
      <c r="O177" s="1">
        <v>1</v>
      </c>
      <c r="P177" s="1">
        <v>0</v>
      </c>
      <c r="Q177" s="1">
        <v>0</v>
      </c>
      <c r="R177" s="1">
        <v>168</v>
      </c>
      <c r="S177" s="1">
        <v>69</v>
      </c>
      <c r="T177" s="1">
        <v>0</v>
      </c>
      <c r="U177" s="1">
        <v>95</v>
      </c>
      <c r="V177" s="1">
        <v>11</v>
      </c>
      <c r="W177" s="1">
        <v>0</v>
      </c>
      <c r="X177" s="1">
        <v>0</v>
      </c>
      <c r="Y177" s="1">
        <v>0</v>
      </c>
      <c r="Z177" s="1">
        <v>0</v>
      </c>
      <c r="AA177" s="1">
        <v>0</v>
      </c>
      <c r="AB177" s="1">
        <v>0</v>
      </c>
      <c r="AC177" s="1">
        <v>0</v>
      </c>
      <c r="AD177" s="1">
        <v>515</v>
      </c>
      <c r="AE177" s="1">
        <v>50</v>
      </c>
      <c r="AF177" s="1">
        <v>0</v>
      </c>
      <c r="AG177" s="1">
        <v>17</v>
      </c>
      <c r="AH177" s="1">
        <v>153</v>
      </c>
      <c r="AI177" s="1">
        <v>0</v>
      </c>
      <c r="AJ177" s="1">
        <v>1</v>
      </c>
      <c r="AK177" s="1">
        <v>1</v>
      </c>
      <c r="AL177" s="1">
        <v>0</v>
      </c>
      <c r="AM177" s="1">
        <v>0</v>
      </c>
      <c r="AN177" s="1">
        <v>0</v>
      </c>
    </row>
    <row r="178" spans="1:40" x14ac:dyDescent="0.3">
      <c r="A178" s="10">
        <v>45924</v>
      </c>
      <c r="B178" s="1">
        <v>228</v>
      </c>
      <c r="C178" s="1">
        <v>91</v>
      </c>
      <c r="D178" s="1">
        <v>0</v>
      </c>
      <c r="E178" s="1">
        <v>0</v>
      </c>
      <c r="F178" s="1">
        <v>667</v>
      </c>
      <c r="G178" s="1">
        <v>188</v>
      </c>
      <c r="H178" s="1">
        <v>3</v>
      </c>
      <c r="I178" s="1">
        <v>0</v>
      </c>
      <c r="J178" s="1"/>
      <c r="K178" s="1">
        <v>0</v>
      </c>
      <c r="L178" s="1">
        <v>49</v>
      </c>
      <c r="M178" s="1">
        <v>0</v>
      </c>
      <c r="N178" s="1">
        <v>0</v>
      </c>
      <c r="O178" s="1">
        <v>4</v>
      </c>
      <c r="P178" s="1">
        <v>0</v>
      </c>
      <c r="Q178" s="1">
        <v>0</v>
      </c>
      <c r="R178" s="1">
        <v>156</v>
      </c>
      <c r="S178" s="1">
        <v>72</v>
      </c>
      <c r="T178" s="1">
        <v>0</v>
      </c>
      <c r="U178" s="1">
        <v>81</v>
      </c>
      <c r="V178" s="1">
        <v>10</v>
      </c>
      <c r="W178" s="1">
        <v>0</v>
      </c>
      <c r="X178" s="1">
        <v>0</v>
      </c>
      <c r="Y178" s="1">
        <v>0</v>
      </c>
      <c r="Z178" s="1">
        <v>0</v>
      </c>
      <c r="AA178" s="1">
        <v>0</v>
      </c>
      <c r="AB178" s="1">
        <v>0</v>
      </c>
      <c r="AC178" s="1">
        <v>0</v>
      </c>
      <c r="AD178" s="1">
        <v>612</v>
      </c>
      <c r="AE178" s="1">
        <v>55</v>
      </c>
      <c r="AF178" s="1">
        <v>0</v>
      </c>
      <c r="AG178" s="1">
        <v>22</v>
      </c>
      <c r="AH178" s="1">
        <v>166</v>
      </c>
      <c r="AI178" s="1">
        <v>0</v>
      </c>
      <c r="AJ178" s="1">
        <v>2</v>
      </c>
      <c r="AK178" s="1">
        <v>1</v>
      </c>
      <c r="AL178" s="1">
        <v>0</v>
      </c>
      <c r="AM178" s="1">
        <v>0</v>
      </c>
      <c r="AN178" s="1">
        <v>0</v>
      </c>
    </row>
    <row r="179" spans="1:40" x14ac:dyDescent="0.3">
      <c r="A179" s="10">
        <v>45925</v>
      </c>
      <c r="B179" s="1">
        <v>278</v>
      </c>
      <c r="C179" s="1">
        <v>132</v>
      </c>
      <c r="D179" s="1">
        <v>0</v>
      </c>
      <c r="E179" s="1">
        <v>0</v>
      </c>
      <c r="F179" s="1">
        <v>979</v>
      </c>
      <c r="G179" s="1">
        <v>234</v>
      </c>
      <c r="H179" s="1">
        <v>1</v>
      </c>
      <c r="I179" s="1">
        <v>0</v>
      </c>
      <c r="J179" s="1"/>
      <c r="K179" s="1">
        <v>0</v>
      </c>
      <c r="L179" s="1">
        <v>62</v>
      </c>
      <c r="M179" s="1">
        <v>0</v>
      </c>
      <c r="N179" s="1">
        <v>0</v>
      </c>
      <c r="O179" s="1">
        <v>0</v>
      </c>
      <c r="P179" s="1">
        <v>0</v>
      </c>
      <c r="Q179" s="1">
        <v>0</v>
      </c>
      <c r="R179" s="1">
        <v>215</v>
      </c>
      <c r="S179" s="1">
        <v>63</v>
      </c>
      <c r="T179" s="1">
        <v>0</v>
      </c>
      <c r="U179" s="1">
        <v>119</v>
      </c>
      <c r="V179" s="1">
        <v>13</v>
      </c>
      <c r="W179" s="1">
        <v>0</v>
      </c>
      <c r="X179" s="1">
        <v>0</v>
      </c>
      <c r="Y179" s="1">
        <v>0</v>
      </c>
      <c r="Z179" s="1">
        <v>0</v>
      </c>
      <c r="AA179" s="1">
        <v>0</v>
      </c>
      <c r="AB179" s="1">
        <v>0</v>
      </c>
      <c r="AC179" s="1">
        <v>0</v>
      </c>
      <c r="AD179" s="1">
        <v>902</v>
      </c>
      <c r="AE179" s="1">
        <v>77</v>
      </c>
      <c r="AF179" s="1">
        <v>0</v>
      </c>
      <c r="AG179" s="1">
        <v>33</v>
      </c>
      <c r="AH179" s="1">
        <v>201</v>
      </c>
      <c r="AI179" s="1">
        <v>0</v>
      </c>
      <c r="AJ179" s="1">
        <v>1</v>
      </c>
      <c r="AK179" s="1">
        <v>0</v>
      </c>
      <c r="AL179" s="1">
        <v>0</v>
      </c>
      <c r="AM179" s="1">
        <v>0</v>
      </c>
      <c r="AN179" s="1">
        <v>0</v>
      </c>
    </row>
    <row r="180" spans="1:40" x14ac:dyDescent="0.3">
      <c r="A180" s="10">
        <v>45926</v>
      </c>
      <c r="B180" s="1">
        <v>257</v>
      </c>
      <c r="C180" s="1">
        <v>132</v>
      </c>
      <c r="D180" s="1">
        <v>0</v>
      </c>
      <c r="E180" s="1">
        <v>0</v>
      </c>
      <c r="F180" s="1">
        <v>533</v>
      </c>
      <c r="G180" s="1">
        <v>112</v>
      </c>
      <c r="H180" s="1">
        <v>1</v>
      </c>
      <c r="I180" s="1">
        <v>0</v>
      </c>
      <c r="J180" s="1"/>
      <c r="K180" s="1">
        <v>0</v>
      </c>
      <c r="L180" s="1">
        <v>43</v>
      </c>
      <c r="M180" s="1">
        <v>0</v>
      </c>
      <c r="N180" s="1">
        <v>0</v>
      </c>
      <c r="O180" s="1">
        <v>2</v>
      </c>
      <c r="P180" s="1">
        <v>0</v>
      </c>
      <c r="Q180" s="1">
        <v>0</v>
      </c>
      <c r="R180" s="1">
        <v>196</v>
      </c>
      <c r="S180" s="1">
        <v>61</v>
      </c>
      <c r="T180" s="1">
        <v>0</v>
      </c>
      <c r="U180" s="1">
        <v>114</v>
      </c>
      <c r="V180" s="1">
        <v>18</v>
      </c>
      <c r="W180" s="1">
        <v>0</v>
      </c>
      <c r="X180" s="1">
        <v>0</v>
      </c>
      <c r="Y180" s="1">
        <v>0</v>
      </c>
      <c r="Z180" s="1">
        <v>0</v>
      </c>
      <c r="AA180" s="1">
        <v>0</v>
      </c>
      <c r="AB180" s="1">
        <v>0</v>
      </c>
      <c r="AC180" s="1">
        <v>0</v>
      </c>
      <c r="AD180" s="1">
        <v>491</v>
      </c>
      <c r="AE180" s="1">
        <v>42</v>
      </c>
      <c r="AF180" s="1">
        <v>0</v>
      </c>
      <c r="AG180" s="1">
        <v>13</v>
      </c>
      <c r="AH180" s="1">
        <v>99</v>
      </c>
      <c r="AI180" s="1">
        <v>0</v>
      </c>
      <c r="AJ180" s="1">
        <v>0</v>
      </c>
      <c r="AK180" s="1">
        <v>1</v>
      </c>
      <c r="AL180" s="1">
        <v>0</v>
      </c>
      <c r="AM180" s="1">
        <v>0</v>
      </c>
      <c r="AN180" s="1">
        <v>0</v>
      </c>
    </row>
    <row r="181" spans="1:40" x14ac:dyDescent="0.3">
      <c r="A181" s="10">
        <v>45927</v>
      </c>
      <c r="B181" s="1">
        <v>544</v>
      </c>
      <c r="C181" s="1">
        <v>214</v>
      </c>
      <c r="D181" s="1">
        <v>0</v>
      </c>
      <c r="E181" s="1">
        <v>0</v>
      </c>
      <c r="F181" s="1">
        <v>836</v>
      </c>
      <c r="G181" s="1">
        <v>186</v>
      </c>
      <c r="H181" s="1">
        <v>3</v>
      </c>
      <c r="I181" s="1">
        <v>0</v>
      </c>
      <c r="J181" s="1"/>
      <c r="K181" s="1">
        <v>0</v>
      </c>
      <c r="L181" s="1">
        <v>74</v>
      </c>
      <c r="M181" s="1">
        <v>0</v>
      </c>
      <c r="N181" s="1">
        <v>0</v>
      </c>
      <c r="O181" s="1">
        <v>4</v>
      </c>
      <c r="P181" s="1">
        <v>0</v>
      </c>
      <c r="Q181" s="1">
        <v>0</v>
      </c>
      <c r="R181" s="1">
        <v>447</v>
      </c>
      <c r="S181" s="1">
        <v>97</v>
      </c>
      <c r="T181" s="1">
        <v>0</v>
      </c>
      <c r="U181" s="1">
        <v>194</v>
      </c>
      <c r="V181" s="1">
        <v>20</v>
      </c>
      <c r="W181" s="1">
        <v>0</v>
      </c>
      <c r="X181" s="1">
        <v>0</v>
      </c>
      <c r="Y181" s="1">
        <v>0</v>
      </c>
      <c r="Z181" s="1">
        <v>0</v>
      </c>
      <c r="AA181" s="1">
        <v>0</v>
      </c>
      <c r="AB181" s="1">
        <v>0</v>
      </c>
      <c r="AC181" s="1">
        <v>0</v>
      </c>
      <c r="AD181" s="1">
        <v>757</v>
      </c>
      <c r="AE181" s="1">
        <v>79</v>
      </c>
      <c r="AF181" s="1">
        <v>0</v>
      </c>
      <c r="AG181" s="1">
        <v>33</v>
      </c>
      <c r="AH181" s="1">
        <v>153</v>
      </c>
      <c r="AI181" s="1">
        <v>0</v>
      </c>
      <c r="AJ181" s="1">
        <v>2</v>
      </c>
      <c r="AK181" s="1">
        <v>1</v>
      </c>
      <c r="AL181" s="1">
        <v>0</v>
      </c>
      <c r="AM181" s="1">
        <v>0</v>
      </c>
      <c r="AN181" s="1">
        <v>0</v>
      </c>
    </row>
    <row r="182" spans="1:40" x14ac:dyDescent="0.3">
      <c r="A182" s="10">
        <v>45928</v>
      </c>
      <c r="B182" s="1">
        <v>433</v>
      </c>
      <c r="C182" s="1">
        <v>166</v>
      </c>
      <c r="D182" s="1">
        <v>0</v>
      </c>
      <c r="E182" s="1">
        <v>0</v>
      </c>
      <c r="F182" s="1">
        <v>1276</v>
      </c>
      <c r="G182" s="1">
        <v>192</v>
      </c>
      <c r="H182" s="1">
        <v>2</v>
      </c>
      <c r="I182" s="1">
        <v>0</v>
      </c>
      <c r="J182" s="1"/>
      <c r="K182" s="1">
        <v>0</v>
      </c>
      <c r="L182" s="1">
        <v>47</v>
      </c>
      <c r="M182" s="1">
        <v>0</v>
      </c>
      <c r="N182" s="1">
        <v>0</v>
      </c>
      <c r="O182" s="1">
        <v>2</v>
      </c>
      <c r="P182" s="1">
        <v>0</v>
      </c>
      <c r="Q182" s="1">
        <v>0</v>
      </c>
      <c r="R182" s="1">
        <v>322</v>
      </c>
      <c r="S182" s="1">
        <v>111</v>
      </c>
      <c r="T182" s="1">
        <v>0</v>
      </c>
      <c r="U182" s="1">
        <v>150</v>
      </c>
      <c r="V182" s="1">
        <v>16</v>
      </c>
      <c r="W182" s="1">
        <v>0</v>
      </c>
      <c r="X182" s="1">
        <v>0</v>
      </c>
      <c r="Y182" s="1">
        <v>0</v>
      </c>
      <c r="Z182" s="1">
        <v>0</v>
      </c>
      <c r="AA182" s="1">
        <v>0</v>
      </c>
      <c r="AB182" s="1">
        <v>0</v>
      </c>
      <c r="AC182" s="1">
        <v>0</v>
      </c>
      <c r="AD182" s="1">
        <v>1159</v>
      </c>
      <c r="AE182" s="1">
        <v>117</v>
      </c>
      <c r="AF182" s="1">
        <v>0</v>
      </c>
      <c r="AG182" s="1">
        <v>28</v>
      </c>
      <c r="AH182" s="1">
        <v>164</v>
      </c>
      <c r="AI182" s="1">
        <v>0</v>
      </c>
      <c r="AJ182" s="1">
        <v>1</v>
      </c>
      <c r="AK182" s="1">
        <v>1</v>
      </c>
      <c r="AL182" s="1">
        <v>0</v>
      </c>
      <c r="AM182" s="1">
        <v>0</v>
      </c>
      <c r="AN182" s="1">
        <v>0</v>
      </c>
    </row>
    <row r="183" spans="1:40" x14ac:dyDescent="0.3">
      <c r="A183" s="10">
        <v>45929</v>
      </c>
      <c r="B183" s="1">
        <v>506</v>
      </c>
      <c r="C183" s="1">
        <v>183</v>
      </c>
      <c r="D183" s="1">
        <v>0</v>
      </c>
      <c r="E183" s="1">
        <v>0</v>
      </c>
      <c r="F183" s="1">
        <v>1723</v>
      </c>
      <c r="G183" s="1">
        <v>243</v>
      </c>
      <c r="H183" s="1">
        <v>0</v>
      </c>
      <c r="I183" s="1">
        <v>0</v>
      </c>
      <c r="J183" s="1"/>
      <c r="K183" s="1">
        <v>0</v>
      </c>
      <c r="L183" s="1">
        <v>133</v>
      </c>
      <c r="M183" s="1">
        <v>0</v>
      </c>
      <c r="N183" s="1">
        <v>0</v>
      </c>
      <c r="O183" s="1">
        <v>0</v>
      </c>
      <c r="P183" s="1">
        <v>0</v>
      </c>
      <c r="Q183" s="1">
        <v>0</v>
      </c>
      <c r="R183" s="1">
        <v>368</v>
      </c>
      <c r="S183" s="1">
        <v>138</v>
      </c>
      <c r="T183" s="1">
        <v>0</v>
      </c>
      <c r="U183" s="1">
        <v>161</v>
      </c>
      <c r="V183" s="1">
        <v>22</v>
      </c>
      <c r="W183" s="1">
        <v>0</v>
      </c>
      <c r="X183" s="1">
        <v>0</v>
      </c>
      <c r="Y183" s="1">
        <v>0</v>
      </c>
      <c r="Z183" s="1">
        <v>0</v>
      </c>
      <c r="AA183" s="1">
        <v>0</v>
      </c>
      <c r="AB183" s="1">
        <v>0</v>
      </c>
      <c r="AC183" s="1">
        <v>0</v>
      </c>
      <c r="AD183" s="1">
        <v>1595</v>
      </c>
      <c r="AE183" s="1">
        <v>128</v>
      </c>
      <c r="AF183" s="1">
        <v>0</v>
      </c>
      <c r="AG183" s="1">
        <v>38</v>
      </c>
      <c r="AH183" s="1">
        <v>205</v>
      </c>
      <c r="AI183" s="1">
        <v>0</v>
      </c>
      <c r="AJ183" s="1">
        <v>0</v>
      </c>
      <c r="AK183" s="1">
        <v>0</v>
      </c>
      <c r="AL183" s="1">
        <v>0</v>
      </c>
      <c r="AM183" s="1">
        <v>0</v>
      </c>
      <c r="AN183" s="1">
        <v>0</v>
      </c>
    </row>
    <row r="184" spans="1:40" x14ac:dyDescent="0.3">
      <c r="A184" s="10">
        <v>45930</v>
      </c>
      <c r="B184" s="1">
        <v>334</v>
      </c>
      <c r="C184" s="1">
        <v>122</v>
      </c>
      <c r="D184" s="1">
        <v>0</v>
      </c>
      <c r="E184" s="1">
        <v>0</v>
      </c>
      <c r="F184" s="1">
        <v>1551</v>
      </c>
      <c r="G184" s="1">
        <v>209</v>
      </c>
      <c r="H184" s="1">
        <v>9</v>
      </c>
      <c r="I184" s="1">
        <v>0</v>
      </c>
      <c r="J184" s="1"/>
      <c r="K184" s="1">
        <v>0</v>
      </c>
      <c r="L184" s="1">
        <v>80</v>
      </c>
      <c r="M184" s="1">
        <v>0</v>
      </c>
      <c r="N184" s="1">
        <v>0</v>
      </c>
      <c r="O184" s="1">
        <v>7</v>
      </c>
      <c r="P184" s="1">
        <v>0</v>
      </c>
      <c r="Q184" s="1">
        <v>0</v>
      </c>
      <c r="R184" s="1">
        <v>259</v>
      </c>
      <c r="S184" s="1">
        <v>75</v>
      </c>
      <c r="T184" s="1">
        <v>0</v>
      </c>
      <c r="U184" s="1">
        <v>114</v>
      </c>
      <c r="V184" s="1">
        <v>8</v>
      </c>
      <c r="W184" s="1">
        <v>0</v>
      </c>
      <c r="X184" s="1">
        <v>0</v>
      </c>
      <c r="Y184" s="1">
        <v>0</v>
      </c>
      <c r="Z184" s="1">
        <v>0</v>
      </c>
      <c r="AA184" s="1">
        <v>0</v>
      </c>
      <c r="AB184" s="1">
        <v>0</v>
      </c>
      <c r="AC184" s="1">
        <v>0</v>
      </c>
      <c r="AD184" s="1">
        <v>1446</v>
      </c>
      <c r="AE184" s="1">
        <v>105</v>
      </c>
      <c r="AF184" s="1">
        <v>0</v>
      </c>
      <c r="AG184" s="1">
        <v>33</v>
      </c>
      <c r="AH184" s="1">
        <v>176</v>
      </c>
      <c r="AI184" s="1">
        <v>0</v>
      </c>
      <c r="AJ184" s="1">
        <v>5</v>
      </c>
      <c r="AK184" s="1">
        <v>4</v>
      </c>
      <c r="AL184" s="1">
        <v>0</v>
      </c>
      <c r="AM184" s="1">
        <v>0</v>
      </c>
      <c r="AN184" s="1">
        <v>0</v>
      </c>
    </row>
    <row r="185" spans="1:40" x14ac:dyDescent="0.3">
      <c r="A185" s="10">
        <v>45931</v>
      </c>
      <c r="B185" s="1">
        <v>618</v>
      </c>
      <c r="C185" s="1">
        <v>143</v>
      </c>
      <c r="D185" s="1">
        <v>0</v>
      </c>
      <c r="E185" s="1">
        <v>9</v>
      </c>
      <c r="F185" s="1">
        <v>3367</v>
      </c>
      <c r="G185" s="1">
        <v>415</v>
      </c>
      <c r="H185" s="1">
        <v>12</v>
      </c>
      <c r="I185" s="1">
        <v>0</v>
      </c>
      <c r="J185" s="1"/>
      <c r="K185" s="1">
        <v>0</v>
      </c>
      <c r="L185" s="1">
        <v>109</v>
      </c>
      <c r="M185" s="1">
        <v>0</v>
      </c>
      <c r="N185" s="1">
        <v>0</v>
      </c>
      <c r="O185" s="1">
        <v>5</v>
      </c>
      <c r="P185" s="1">
        <v>0</v>
      </c>
      <c r="Q185" s="1">
        <v>0</v>
      </c>
      <c r="R185" s="1">
        <v>522</v>
      </c>
      <c r="S185" s="1">
        <v>96</v>
      </c>
      <c r="T185" s="1">
        <v>0</v>
      </c>
      <c r="U185" s="1">
        <v>134</v>
      </c>
      <c r="V185" s="1">
        <v>9</v>
      </c>
      <c r="W185" s="1">
        <v>0</v>
      </c>
      <c r="X185" s="1">
        <v>0</v>
      </c>
      <c r="Y185" s="1">
        <v>0</v>
      </c>
      <c r="Z185" s="1">
        <v>0</v>
      </c>
      <c r="AA185" s="1">
        <v>9</v>
      </c>
      <c r="AB185" s="1">
        <v>0</v>
      </c>
      <c r="AC185" s="1">
        <v>0</v>
      </c>
      <c r="AD185" s="1">
        <v>3087</v>
      </c>
      <c r="AE185" s="1">
        <v>281</v>
      </c>
      <c r="AF185" s="1">
        <v>0</v>
      </c>
      <c r="AG185" s="1">
        <v>120</v>
      </c>
      <c r="AH185" s="1">
        <v>295</v>
      </c>
      <c r="AI185" s="1">
        <v>0</v>
      </c>
      <c r="AJ185" s="1">
        <v>11</v>
      </c>
      <c r="AK185" s="1">
        <v>1</v>
      </c>
      <c r="AL185" s="1">
        <v>0</v>
      </c>
      <c r="AM185" s="1">
        <v>0</v>
      </c>
      <c r="AN185" s="1">
        <v>0</v>
      </c>
    </row>
    <row r="186" spans="1:40" x14ac:dyDescent="0.3">
      <c r="A186" s="10">
        <v>45932</v>
      </c>
      <c r="B186" s="1">
        <v>187</v>
      </c>
      <c r="C186" s="1">
        <v>33</v>
      </c>
      <c r="D186" s="1">
        <v>0</v>
      </c>
      <c r="E186" s="1">
        <v>0</v>
      </c>
      <c r="F186" s="1">
        <v>1864</v>
      </c>
      <c r="G186" s="1">
        <v>190</v>
      </c>
      <c r="H186" s="1">
        <v>10</v>
      </c>
      <c r="I186" s="1">
        <v>0</v>
      </c>
      <c r="J186" s="1"/>
      <c r="K186" s="1">
        <v>0</v>
      </c>
      <c r="L186" s="1">
        <v>14</v>
      </c>
      <c r="M186" s="1">
        <v>0</v>
      </c>
      <c r="N186" s="1">
        <v>0</v>
      </c>
      <c r="O186" s="1">
        <v>0</v>
      </c>
      <c r="P186" s="1">
        <v>0</v>
      </c>
      <c r="Q186" s="1">
        <v>0</v>
      </c>
      <c r="R186" s="1">
        <v>134</v>
      </c>
      <c r="S186" s="1">
        <v>53</v>
      </c>
      <c r="T186" s="1">
        <v>0</v>
      </c>
      <c r="U186" s="1">
        <v>17</v>
      </c>
      <c r="V186" s="1">
        <v>16</v>
      </c>
      <c r="W186" s="1">
        <v>0</v>
      </c>
      <c r="X186" s="1">
        <v>0</v>
      </c>
      <c r="Y186" s="1">
        <v>0</v>
      </c>
      <c r="Z186" s="1">
        <v>0</v>
      </c>
      <c r="AA186" s="1">
        <v>0</v>
      </c>
      <c r="AB186" s="1">
        <v>0</v>
      </c>
      <c r="AC186" s="1">
        <v>0</v>
      </c>
      <c r="AD186" s="1">
        <v>1673</v>
      </c>
      <c r="AE186" s="1">
        <v>191</v>
      </c>
      <c r="AF186" s="1">
        <v>0</v>
      </c>
      <c r="AG186" s="1">
        <v>11</v>
      </c>
      <c r="AH186" s="1">
        <v>179</v>
      </c>
      <c r="AI186" s="1">
        <v>0</v>
      </c>
      <c r="AJ186" s="1">
        <v>2</v>
      </c>
      <c r="AK186" s="1">
        <v>8</v>
      </c>
      <c r="AL186" s="1">
        <v>0</v>
      </c>
      <c r="AM186" s="1">
        <v>0</v>
      </c>
      <c r="AN186" s="1">
        <v>0</v>
      </c>
    </row>
    <row r="187" spans="1:40" x14ac:dyDescent="0.3">
      <c r="A187" s="10">
        <v>45933</v>
      </c>
      <c r="B187" s="1">
        <v>159</v>
      </c>
      <c r="C187" s="1">
        <v>56</v>
      </c>
      <c r="D187" s="1">
        <v>0</v>
      </c>
      <c r="E187" s="1">
        <v>0</v>
      </c>
      <c r="F187" s="1">
        <v>1599</v>
      </c>
      <c r="G187" s="1">
        <v>301</v>
      </c>
      <c r="H187" s="1">
        <v>6</v>
      </c>
      <c r="I187" s="1">
        <v>0</v>
      </c>
      <c r="J187" s="1"/>
      <c r="K187" s="1">
        <v>0</v>
      </c>
      <c r="L187" s="1">
        <v>67</v>
      </c>
      <c r="M187" s="1">
        <v>0</v>
      </c>
      <c r="N187" s="1">
        <v>0</v>
      </c>
      <c r="O187" s="1">
        <v>4</v>
      </c>
      <c r="P187" s="1">
        <v>0</v>
      </c>
      <c r="Q187" s="1">
        <v>0</v>
      </c>
      <c r="R187" s="1">
        <v>128</v>
      </c>
      <c r="S187" s="1">
        <v>31</v>
      </c>
      <c r="T187" s="1">
        <v>0</v>
      </c>
      <c r="U187" s="1">
        <v>47</v>
      </c>
      <c r="V187" s="1">
        <v>9</v>
      </c>
      <c r="W187" s="1">
        <v>0</v>
      </c>
      <c r="X187" s="1">
        <v>0</v>
      </c>
      <c r="Y187" s="1">
        <v>0</v>
      </c>
      <c r="Z187" s="1">
        <v>0</v>
      </c>
      <c r="AA187" s="1">
        <v>0</v>
      </c>
      <c r="AB187" s="1">
        <v>0</v>
      </c>
      <c r="AC187" s="1">
        <v>0</v>
      </c>
      <c r="AD187" s="1">
        <v>1425</v>
      </c>
      <c r="AE187" s="1">
        <v>174</v>
      </c>
      <c r="AF187" s="1">
        <v>0</v>
      </c>
      <c r="AG187" s="1">
        <v>48</v>
      </c>
      <c r="AH187" s="1">
        <v>253</v>
      </c>
      <c r="AI187" s="1">
        <v>0</v>
      </c>
      <c r="AJ187" s="1">
        <v>0</v>
      </c>
      <c r="AK187" s="1">
        <v>6</v>
      </c>
      <c r="AL187" s="1">
        <v>0</v>
      </c>
      <c r="AM187" s="1">
        <v>0</v>
      </c>
      <c r="AN187" s="1">
        <v>0</v>
      </c>
    </row>
    <row r="188" spans="1:40" x14ac:dyDescent="0.3">
      <c r="A188" s="10">
        <v>45934</v>
      </c>
      <c r="B188" s="1">
        <v>115</v>
      </c>
      <c r="C188" s="1">
        <v>43</v>
      </c>
      <c r="D188" s="1">
        <v>0</v>
      </c>
      <c r="E188" s="1">
        <v>0</v>
      </c>
      <c r="F188" s="1">
        <v>1053</v>
      </c>
      <c r="G188" s="1">
        <v>355</v>
      </c>
      <c r="H188" s="1">
        <v>10</v>
      </c>
      <c r="I188" s="1">
        <v>0</v>
      </c>
      <c r="J188" s="1"/>
      <c r="K188" s="1">
        <v>0</v>
      </c>
      <c r="L188" s="1">
        <v>72</v>
      </c>
      <c r="M188" s="1">
        <v>0</v>
      </c>
      <c r="N188" s="1">
        <v>0</v>
      </c>
      <c r="O188" s="1">
        <v>6</v>
      </c>
      <c r="P188" s="1">
        <v>0</v>
      </c>
      <c r="Q188" s="1">
        <v>0</v>
      </c>
      <c r="R188" s="1">
        <v>95</v>
      </c>
      <c r="S188" s="1">
        <v>20</v>
      </c>
      <c r="T188" s="1">
        <v>0</v>
      </c>
      <c r="U188" s="1">
        <v>37</v>
      </c>
      <c r="V188" s="1">
        <v>6</v>
      </c>
      <c r="W188" s="1">
        <v>0</v>
      </c>
      <c r="X188" s="1">
        <v>0</v>
      </c>
      <c r="Y188" s="1">
        <v>0</v>
      </c>
      <c r="Z188" s="1">
        <v>0</v>
      </c>
      <c r="AA188" s="1">
        <v>0</v>
      </c>
      <c r="AB188" s="1">
        <v>0</v>
      </c>
      <c r="AC188" s="1">
        <v>0</v>
      </c>
      <c r="AD188" s="1">
        <v>940</v>
      </c>
      <c r="AE188" s="1">
        <v>113</v>
      </c>
      <c r="AF188" s="1">
        <v>0</v>
      </c>
      <c r="AG188" s="1">
        <v>44</v>
      </c>
      <c r="AH188" s="1">
        <v>311</v>
      </c>
      <c r="AI188" s="1">
        <v>0</v>
      </c>
      <c r="AJ188" s="1">
        <v>2</v>
      </c>
      <c r="AK188" s="1">
        <v>8</v>
      </c>
      <c r="AL188" s="1">
        <v>0</v>
      </c>
      <c r="AM188" s="1">
        <v>0</v>
      </c>
      <c r="AN188" s="1">
        <v>0</v>
      </c>
    </row>
    <row r="189" spans="1:40" x14ac:dyDescent="0.3">
      <c r="A189" s="10">
        <v>45935</v>
      </c>
      <c r="B189" s="1">
        <v>237</v>
      </c>
      <c r="C189" s="1">
        <v>48</v>
      </c>
      <c r="D189" s="1">
        <v>0</v>
      </c>
      <c r="E189" s="1">
        <v>0</v>
      </c>
      <c r="F189" s="1">
        <v>1901</v>
      </c>
      <c r="G189" s="1">
        <v>314</v>
      </c>
      <c r="H189" s="1">
        <v>3</v>
      </c>
      <c r="I189" s="1">
        <v>0</v>
      </c>
      <c r="J189" s="1"/>
      <c r="K189" s="1">
        <v>0</v>
      </c>
      <c r="L189" s="1">
        <v>73</v>
      </c>
      <c r="M189" s="1">
        <v>0</v>
      </c>
      <c r="N189" s="1">
        <v>0</v>
      </c>
      <c r="O189" s="1">
        <v>1</v>
      </c>
      <c r="P189" s="1">
        <v>0</v>
      </c>
      <c r="Q189" s="1">
        <v>0</v>
      </c>
      <c r="R189" s="1">
        <v>209</v>
      </c>
      <c r="S189" s="1">
        <v>28</v>
      </c>
      <c r="T189" s="1">
        <v>0</v>
      </c>
      <c r="U189" s="1">
        <v>43</v>
      </c>
      <c r="V189" s="1">
        <v>5</v>
      </c>
      <c r="W189" s="1">
        <v>0</v>
      </c>
      <c r="X189" s="1">
        <v>0</v>
      </c>
      <c r="Y189" s="1">
        <v>0</v>
      </c>
      <c r="Z189" s="1">
        <v>0</v>
      </c>
      <c r="AA189" s="1">
        <v>0</v>
      </c>
      <c r="AB189" s="1">
        <v>0</v>
      </c>
      <c r="AC189" s="1">
        <v>0</v>
      </c>
      <c r="AD189" s="1">
        <v>1745</v>
      </c>
      <c r="AE189" s="1">
        <v>156</v>
      </c>
      <c r="AF189" s="1">
        <v>0</v>
      </c>
      <c r="AG189" s="1">
        <v>78</v>
      </c>
      <c r="AH189" s="1">
        <v>236</v>
      </c>
      <c r="AI189" s="1">
        <v>0</v>
      </c>
      <c r="AJ189" s="1">
        <v>2</v>
      </c>
      <c r="AK189" s="1">
        <v>1</v>
      </c>
      <c r="AL189" s="1">
        <v>0</v>
      </c>
      <c r="AM189" s="1">
        <v>0</v>
      </c>
      <c r="AN189" s="1">
        <v>0</v>
      </c>
    </row>
    <row r="190" spans="1:40" x14ac:dyDescent="0.3">
      <c r="A190" s="10">
        <v>45936</v>
      </c>
      <c r="B190" s="1">
        <v>142</v>
      </c>
      <c r="C190" s="1">
        <v>50</v>
      </c>
      <c r="D190" s="1">
        <v>0</v>
      </c>
      <c r="E190" s="1">
        <v>0</v>
      </c>
      <c r="F190" s="1">
        <v>573</v>
      </c>
      <c r="G190" s="1">
        <v>84</v>
      </c>
      <c r="H190" s="1">
        <v>4</v>
      </c>
      <c r="I190" s="1">
        <v>0</v>
      </c>
      <c r="J190" s="1"/>
      <c r="K190" s="1">
        <v>0</v>
      </c>
      <c r="L190" s="1">
        <v>22</v>
      </c>
      <c r="M190" s="1">
        <v>0</v>
      </c>
      <c r="N190" s="1">
        <v>0</v>
      </c>
      <c r="O190" s="1">
        <v>5</v>
      </c>
      <c r="P190" s="1">
        <v>0</v>
      </c>
      <c r="Q190" s="1">
        <v>0</v>
      </c>
      <c r="R190" s="1">
        <v>132</v>
      </c>
      <c r="S190" s="1">
        <v>10</v>
      </c>
      <c r="T190" s="1">
        <v>0</v>
      </c>
      <c r="U190" s="1">
        <v>49</v>
      </c>
      <c r="V190" s="1">
        <v>1</v>
      </c>
      <c r="W190" s="1">
        <v>0</v>
      </c>
      <c r="X190" s="1">
        <v>0</v>
      </c>
      <c r="Y190" s="1">
        <v>0</v>
      </c>
      <c r="Z190" s="1">
        <v>0</v>
      </c>
      <c r="AA190" s="1">
        <v>0</v>
      </c>
      <c r="AB190" s="1">
        <v>0</v>
      </c>
      <c r="AC190" s="1">
        <v>0</v>
      </c>
      <c r="AD190" s="1">
        <v>530</v>
      </c>
      <c r="AE190" s="1">
        <v>43</v>
      </c>
      <c r="AF190" s="1">
        <v>0</v>
      </c>
      <c r="AG190" s="1">
        <v>22</v>
      </c>
      <c r="AH190" s="1">
        <v>62</v>
      </c>
      <c r="AI190" s="1">
        <v>0</v>
      </c>
      <c r="AJ190" s="1">
        <v>3</v>
      </c>
      <c r="AK190" s="1">
        <v>1</v>
      </c>
      <c r="AL190" s="1">
        <v>0</v>
      </c>
      <c r="AM190" s="1">
        <v>0</v>
      </c>
      <c r="AN190" s="1">
        <v>0</v>
      </c>
    </row>
    <row r="191" spans="1:40" x14ac:dyDescent="0.3">
      <c r="A191" s="10">
        <v>45937</v>
      </c>
      <c r="B191" s="1">
        <v>235</v>
      </c>
      <c r="C191" s="1">
        <v>50</v>
      </c>
      <c r="D191" s="1">
        <v>0</v>
      </c>
      <c r="E191" s="1">
        <v>0</v>
      </c>
      <c r="F191" s="1">
        <v>700</v>
      </c>
      <c r="G191" s="1">
        <v>150</v>
      </c>
      <c r="H191" s="1">
        <v>13</v>
      </c>
      <c r="I191" s="1">
        <v>0</v>
      </c>
      <c r="J191" s="1"/>
      <c r="K191" s="1">
        <v>0</v>
      </c>
      <c r="L191" s="1">
        <v>21</v>
      </c>
      <c r="M191" s="1">
        <v>0</v>
      </c>
      <c r="N191" s="1">
        <v>0</v>
      </c>
      <c r="O191" s="1">
        <v>0</v>
      </c>
      <c r="P191" s="1">
        <v>0</v>
      </c>
      <c r="Q191" s="1">
        <v>0</v>
      </c>
      <c r="R191" s="1">
        <v>215</v>
      </c>
      <c r="S191" s="1">
        <v>20</v>
      </c>
      <c r="T191" s="1">
        <v>0</v>
      </c>
      <c r="U191" s="1">
        <v>46</v>
      </c>
      <c r="V191" s="1">
        <v>4</v>
      </c>
      <c r="W191" s="1">
        <v>0</v>
      </c>
      <c r="X191" s="1">
        <v>0</v>
      </c>
      <c r="Y191" s="1">
        <v>0</v>
      </c>
      <c r="Z191" s="1">
        <v>0</v>
      </c>
      <c r="AA191" s="1">
        <v>0</v>
      </c>
      <c r="AB191" s="1">
        <v>0</v>
      </c>
      <c r="AC191" s="1">
        <v>0</v>
      </c>
      <c r="AD191" s="1">
        <v>637</v>
      </c>
      <c r="AE191" s="1">
        <v>63</v>
      </c>
      <c r="AF191" s="1">
        <v>0</v>
      </c>
      <c r="AG191" s="1">
        <v>29</v>
      </c>
      <c r="AH191" s="1">
        <v>121</v>
      </c>
      <c r="AI191" s="1">
        <v>0</v>
      </c>
      <c r="AJ191" s="1">
        <v>3</v>
      </c>
      <c r="AK191" s="1">
        <v>10</v>
      </c>
      <c r="AL191" s="1">
        <v>0</v>
      </c>
      <c r="AM191" s="1">
        <v>0</v>
      </c>
      <c r="AN191" s="1">
        <v>0</v>
      </c>
    </row>
    <row r="192" spans="1:40" x14ac:dyDescent="0.3">
      <c r="A192" s="10">
        <v>45938</v>
      </c>
      <c r="B192" s="1">
        <v>214</v>
      </c>
      <c r="C192" s="1">
        <v>45</v>
      </c>
      <c r="D192" s="1">
        <v>0</v>
      </c>
      <c r="E192" s="1">
        <v>0</v>
      </c>
      <c r="F192" s="1">
        <v>859</v>
      </c>
      <c r="G192" s="1">
        <v>161</v>
      </c>
      <c r="H192" s="1">
        <v>9</v>
      </c>
      <c r="I192" s="1">
        <v>0</v>
      </c>
      <c r="J192" s="1"/>
      <c r="K192" s="1">
        <v>0</v>
      </c>
      <c r="L192" s="1">
        <v>26</v>
      </c>
      <c r="M192" s="1">
        <v>0</v>
      </c>
      <c r="N192" s="1">
        <v>0</v>
      </c>
      <c r="O192" s="1">
        <v>5</v>
      </c>
      <c r="P192" s="1">
        <v>0</v>
      </c>
      <c r="Q192" s="1">
        <v>0</v>
      </c>
      <c r="R192" s="1">
        <v>195</v>
      </c>
      <c r="S192" s="1">
        <v>19</v>
      </c>
      <c r="T192" s="1">
        <v>0</v>
      </c>
      <c r="U192" s="1">
        <v>44</v>
      </c>
      <c r="V192" s="1">
        <v>1</v>
      </c>
      <c r="W192" s="1">
        <v>0</v>
      </c>
      <c r="X192" s="1">
        <v>0</v>
      </c>
      <c r="Y192" s="1">
        <v>0</v>
      </c>
      <c r="Z192" s="1">
        <v>0</v>
      </c>
      <c r="AA192" s="1">
        <v>0</v>
      </c>
      <c r="AB192" s="1">
        <v>0</v>
      </c>
      <c r="AC192" s="1">
        <v>0</v>
      </c>
      <c r="AD192" s="1">
        <v>769</v>
      </c>
      <c r="AE192" s="1">
        <v>90</v>
      </c>
      <c r="AF192" s="1">
        <v>0</v>
      </c>
      <c r="AG192" s="1">
        <v>38</v>
      </c>
      <c r="AH192" s="1">
        <v>123</v>
      </c>
      <c r="AI192" s="1">
        <v>0</v>
      </c>
      <c r="AJ192" s="1">
        <v>3</v>
      </c>
      <c r="AK192" s="1">
        <v>6</v>
      </c>
      <c r="AL192" s="1">
        <v>0</v>
      </c>
      <c r="AM192" s="1">
        <v>0</v>
      </c>
      <c r="AN192" s="1">
        <v>0</v>
      </c>
    </row>
    <row r="193" spans="1:40" x14ac:dyDescent="0.3">
      <c r="A193" s="10">
        <v>45939</v>
      </c>
      <c r="B193" s="1">
        <v>105</v>
      </c>
      <c r="C193" s="1">
        <v>35</v>
      </c>
      <c r="D193" s="1">
        <v>0</v>
      </c>
      <c r="E193" s="1">
        <v>0</v>
      </c>
      <c r="F193" s="1">
        <v>780</v>
      </c>
      <c r="G193" s="1">
        <v>156</v>
      </c>
      <c r="H193" s="1">
        <v>9</v>
      </c>
      <c r="I193" s="1">
        <v>0</v>
      </c>
      <c r="J193" s="1"/>
      <c r="K193" s="1">
        <v>0</v>
      </c>
      <c r="L193" s="1">
        <v>21</v>
      </c>
      <c r="M193" s="1">
        <v>0</v>
      </c>
      <c r="N193" s="1">
        <v>0</v>
      </c>
      <c r="O193" s="1">
        <v>0</v>
      </c>
      <c r="P193" s="1">
        <v>0</v>
      </c>
      <c r="Q193" s="1">
        <v>0</v>
      </c>
      <c r="R193" s="1">
        <v>88</v>
      </c>
      <c r="S193" s="1">
        <v>17</v>
      </c>
      <c r="T193" s="1">
        <v>0</v>
      </c>
      <c r="U193" s="1">
        <v>27</v>
      </c>
      <c r="V193" s="1">
        <v>8</v>
      </c>
      <c r="W193" s="1">
        <v>0</v>
      </c>
      <c r="X193" s="1">
        <v>0</v>
      </c>
      <c r="Y193" s="1">
        <v>0</v>
      </c>
      <c r="Z193" s="1">
        <v>0</v>
      </c>
      <c r="AA193" s="1">
        <v>0</v>
      </c>
      <c r="AB193" s="1">
        <v>0</v>
      </c>
      <c r="AC193" s="1">
        <v>0</v>
      </c>
      <c r="AD193" s="1">
        <v>690</v>
      </c>
      <c r="AE193" s="1">
        <v>90</v>
      </c>
      <c r="AF193" s="1">
        <v>0</v>
      </c>
      <c r="AG193" s="1">
        <v>25</v>
      </c>
      <c r="AH193" s="1">
        <v>131</v>
      </c>
      <c r="AI193" s="1">
        <v>0</v>
      </c>
      <c r="AJ193" s="1">
        <v>3</v>
      </c>
      <c r="AK193" s="1">
        <v>6</v>
      </c>
      <c r="AL193" s="1">
        <v>0</v>
      </c>
      <c r="AM193" s="1">
        <v>0</v>
      </c>
      <c r="AN193" s="1">
        <v>0</v>
      </c>
    </row>
    <row r="194" spans="1:40" x14ac:dyDescent="0.3">
      <c r="A194" s="10">
        <v>45940</v>
      </c>
      <c r="B194" s="1">
        <v>66</v>
      </c>
      <c r="C194" s="1">
        <v>12</v>
      </c>
      <c r="D194" s="1">
        <v>0</v>
      </c>
      <c r="E194" s="1">
        <v>0</v>
      </c>
      <c r="F194" s="1">
        <v>523</v>
      </c>
      <c r="G194" s="1">
        <v>64</v>
      </c>
      <c r="H194" s="1">
        <v>7</v>
      </c>
      <c r="I194" s="1">
        <v>0</v>
      </c>
      <c r="J194" s="1"/>
      <c r="K194" s="1">
        <v>0</v>
      </c>
      <c r="L194" s="1">
        <v>6</v>
      </c>
      <c r="M194" s="1">
        <v>0</v>
      </c>
      <c r="N194" s="1">
        <v>0</v>
      </c>
      <c r="O194" s="1">
        <v>0</v>
      </c>
      <c r="P194" s="1">
        <v>0</v>
      </c>
      <c r="Q194" s="1">
        <v>0</v>
      </c>
      <c r="R194" s="1">
        <v>61</v>
      </c>
      <c r="S194" s="1">
        <v>5</v>
      </c>
      <c r="T194" s="1">
        <v>0</v>
      </c>
      <c r="U194" s="1">
        <v>12</v>
      </c>
      <c r="V194" s="1">
        <v>0</v>
      </c>
      <c r="W194" s="1">
        <v>0</v>
      </c>
      <c r="X194" s="1">
        <v>0</v>
      </c>
      <c r="Y194" s="1">
        <v>0</v>
      </c>
      <c r="Z194" s="1">
        <v>0</v>
      </c>
      <c r="AA194" s="1">
        <v>0</v>
      </c>
      <c r="AB194" s="1">
        <v>0</v>
      </c>
      <c r="AC194" s="1">
        <v>0</v>
      </c>
      <c r="AD194" s="1">
        <v>468</v>
      </c>
      <c r="AE194" s="1">
        <v>55</v>
      </c>
      <c r="AF194" s="1">
        <v>0</v>
      </c>
      <c r="AG194" s="1">
        <v>6</v>
      </c>
      <c r="AH194" s="1">
        <v>58</v>
      </c>
      <c r="AI194" s="1">
        <v>0</v>
      </c>
      <c r="AJ194" s="1">
        <v>5</v>
      </c>
      <c r="AK194" s="1">
        <v>2</v>
      </c>
      <c r="AL194" s="1">
        <v>0</v>
      </c>
      <c r="AM194" s="1">
        <v>0</v>
      </c>
      <c r="AN194" s="1">
        <v>0</v>
      </c>
    </row>
    <row r="195" spans="1:40" x14ac:dyDescent="0.3">
      <c r="A195" s="10">
        <v>45941</v>
      </c>
      <c r="B195" s="1">
        <v>238</v>
      </c>
      <c r="C195" s="1">
        <v>57</v>
      </c>
      <c r="D195" s="1">
        <v>0</v>
      </c>
      <c r="E195" s="1">
        <v>0</v>
      </c>
      <c r="F195" s="1">
        <v>558</v>
      </c>
      <c r="G195" s="1">
        <v>80</v>
      </c>
      <c r="H195" s="1">
        <v>4</v>
      </c>
      <c r="I195" s="1">
        <v>0</v>
      </c>
      <c r="J195" s="1"/>
      <c r="K195" s="1">
        <v>0</v>
      </c>
      <c r="L195" s="1">
        <v>14</v>
      </c>
      <c r="M195" s="1">
        <v>0</v>
      </c>
      <c r="N195" s="1">
        <v>0</v>
      </c>
      <c r="O195" s="1">
        <v>0</v>
      </c>
      <c r="P195" s="1">
        <v>0</v>
      </c>
      <c r="Q195" s="1">
        <v>0</v>
      </c>
      <c r="R195" s="1">
        <v>203</v>
      </c>
      <c r="S195" s="1">
        <v>35</v>
      </c>
      <c r="T195" s="1">
        <v>0</v>
      </c>
      <c r="U195" s="1">
        <v>56</v>
      </c>
      <c r="V195" s="1">
        <v>1</v>
      </c>
      <c r="W195" s="1">
        <v>0</v>
      </c>
      <c r="X195" s="1">
        <v>0</v>
      </c>
      <c r="Y195" s="1">
        <v>0</v>
      </c>
      <c r="Z195" s="1">
        <v>0</v>
      </c>
      <c r="AA195" s="1">
        <v>0</v>
      </c>
      <c r="AB195" s="1">
        <v>0</v>
      </c>
      <c r="AC195" s="1">
        <v>0</v>
      </c>
      <c r="AD195" s="1">
        <v>494</v>
      </c>
      <c r="AE195" s="1">
        <v>64</v>
      </c>
      <c r="AF195" s="1">
        <v>0</v>
      </c>
      <c r="AG195" s="1">
        <v>14</v>
      </c>
      <c r="AH195" s="1">
        <v>66</v>
      </c>
      <c r="AI195" s="1">
        <v>0</v>
      </c>
      <c r="AJ195" s="1">
        <v>1</v>
      </c>
      <c r="AK195" s="1">
        <v>3</v>
      </c>
      <c r="AL195" s="1">
        <v>0</v>
      </c>
      <c r="AM195" s="1">
        <v>0</v>
      </c>
      <c r="AN195" s="1">
        <v>0</v>
      </c>
    </row>
    <row r="196" spans="1:40" x14ac:dyDescent="0.3">
      <c r="A196" s="10">
        <v>45942</v>
      </c>
      <c r="B196" s="1">
        <v>160</v>
      </c>
      <c r="C196" s="1">
        <v>34</v>
      </c>
      <c r="D196" s="1">
        <v>0</v>
      </c>
      <c r="E196" s="1">
        <v>2</v>
      </c>
      <c r="F196" s="1">
        <v>566</v>
      </c>
      <c r="G196" s="1">
        <v>108</v>
      </c>
      <c r="H196" s="1">
        <v>3</v>
      </c>
      <c r="I196" s="1">
        <v>0</v>
      </c>
      <c r="J196" s="1"/>
      <c r="K196" s="1">
        <v>0</v>
      </c>
      <c r="L196" s="1">
        <v>15</v>
      </c>
      <c r="M196" s="1">
        <v>0</v>
      </c>
      <c r="N196" s="1">
        <v>0</v>
      </c>
      <c r="O196" s="1">
        <v>0</v>
      </c>
      <c r="P196" s="1">
        <v>0</v>
      </c>
      <c r="Q196" s="1">
        <v>0</v>
      </c>
      <c r="R196" s="1">
        <v>142</v>
      </c>
      <c r="S196" s="1">
        <v>18</v>
      </c>
      <c r="T196" s="1">
        <v>0</v>
      </c>
      <c r="U196" s="1">
        <v>32</v>
      </c>
      <c r="V196" s="1">
        <v>2</v>
      </c>
      <c r="W196" s="1">
        <v>0</v>
      </c>
      <c r="X196" s="1">
        <v>0</v>
      </c>
      <c r="Y196" s="1">
        <v>0</v>
      </c>
      <c r="Z196" s="1">
        <v>0</v>
      </c>
      <c r="AA196" s="1">
        <v>2</v>
      </c>
      <c r="AB196" s="1">
        <v>0</v>
      </c>
      <c r="AC196" s="1">
        <v>0</v>
      </c>
      <c r="AD196" s="1">
        <v>513</v>
      </c>
      <c r="AE196" s="1">
        <v>53</v>
      </c>
      <c r="AF196" s="1">
        <v>0</v>
      </c>
      <c r="AG196" s="1">
        <v>37</v>
      </c>
      <c r="AH196" s="1">
        <v>71</v>
      </c>
      <c r="AI196" s="1">
        <v>0</v>
      </c>
      <c r="AJ196" s="1">
        <v>1</v>
      </c>
      <c r="AK196" s="1">
        <v>2</v>
      </c>
      <c r="AL196" s="1">
        <v>0</v>
      </c>
      <c r="AM196" s="1">
        <v>0</v>
      </c>
      <c r="AN196" s="1">
        <v>0</v>
      </c>
    </row>
    <row r="197" spans="1:40" x14ac:dyDescent="0.3">
      <c r="A197" s="10">
        <v>45943</v>
      </c>
      <c r="B197" s="1">
        <v>41</v>
      </c>
      <c r="C197" s="1">
        <v>18</v>
      </c>
      <c r="D197" s="1">
        <v>0</v>
      </c>
      <c r="E197" s="1">
        <v>1</v>
      </c>
      <c r="F197" s="1">
        <v>291</v>
      </c>
      <c r="G197" s="1">
        <v>20</v>
      </c>
      <c r="H197" s="1">
        <v>0</v>
      </c>
      <c r="I197" s="1">
        <v>0</v>
      </c>
      <c r="J197" s="1"/>
      <c r="K197" s="1">
        <v>0</v>
      </c>
      <c r="L197" s="1">
        <v>2</v>
      </c>
      <c r="M197" s="1">
        <v>0</v>
      </c>
      <c r="N197" s="1">
        <v>0</v>
      </c>
      <c r="O197" s="1">
        <v>0</v>
      </c>
      <c r="P197" s="1">
        <v>0</v>
      </c>
      <c r="Q197" s="1">
        <v>0</v>
      </c>
      <c r="R197" s="1">
        <v>36</v>
      </c>
      <c r="S197" s="1">
        <v>5</v>
      </c>
      <c r="T197" s="1">
        <v>0</v>
      </c>
      <c r="U197" s="1">
        <v>16</v>
      </c>
      <c r="V197" s="1">
        <v>2</v>
      </c>
      <c r="W197" s="1">
        <v>0</v>
      </c>
      <c r="X197" s="1">
        <v>0</v>
      </c>
      <c r="Y197" s="1">
        <v>0</v>
      </c>
      <c r="Z197" s="1">
        <v>0</v>
      </c>
      <c r="AA197" s="1">
        <v>1</v>
      </c>
      <c r="AB197" s="1">
        <v>0</v>
      </c>
      <c r="AC197" s="1">
        <v>0</v>
      </c>
      <c r="AD197" s="1">
        <v>262</v>
      </c>
      <c r="AE197" s="1">
        <v>29</v>
      </c>
      <c r="AF197" s="1">
        <v>0</v>
      </c>
      <c r="AG197" s="1">
        <v>5</v>
      </c>
      <c r="AH197" s="1">
        <v>15</v>
      </c>
      <c r="AI197" s="1">
        <v>0</v>
      </c>
      <c r="AJ197" s="1">
        <v>0</v>
      </c>
      <c r="AK197" s="1">
        <v>0</v>
      </c>
      <c r="AL197" s="1">
        <v>0</v>
      </c>
      <c r="AM197" s="1">
        <v>0</v>
      </c>
      <c r="AN197" s="1">
        <v>0</v>
      </c>
    </row>
    <row r="198" spans="1:40" x14ac:dyDescent="0.3">
      <c r="A198" s="10">
        <v>45944</v>
      </c>
      <c r="B198" s="1">
        <v>37</v>
      </c>
      <c r="C198" s="1">
        <v>21</v>
      </c>
      <c r="D198" s="1">
        <v>0</v>
      </c>
      <c r="E198" s="1">
        <v>7</v>
      </c>
      <c r="F198" s="1">
        <v>326</v>
      </c>
      <c r="G198" s="1">
        <v>73</v>
      </c>
      <c r="H198" s="1">
        <v>3</v>
      </c>
      <c r="I198" s="1">
        <v>0</v>
      </c>
      <c r="J198" s="1"/>
      <c r="K198" s="1">
        <v>0</v>
      </c>
      <c r="L198" s="1">
        <v>5</v>
      </c>
      <c r="M198" s="1">
        <v>0</v>
      </c>
      <c r="N198" s="1">
        <v>0</v>
      </c>
      <c r="O198" s="1">
        <v>0</v>
      </c>
      <c r="P198" s="1">
        <v>0</v>
      </c>
      <c r="Q198" s="1">
        <v>0</v>
      </c>
      <c r="R198" s="1">
        <v>36</v>
      </c>
      <c r="S198" s="1">
        <v>1</v>
      </c>
      <c r="T198" s="1">
        <v>0</v>
      </c>
      <c r="U198" s="1">
        <v>18</v>
      </c>
      <c r="V198" s="1">
        <v>3</v>
      </c>
      <c r="W198" s="1">
        <v>0</v>
      </c>
      <c r="X198" s="1">
        <v>0</v>
      </c>
      <c r="Y198" s="1">
        <v>0</v>
      </c>
      <c r="Z198" s="1">
        <v>0</v>
      </c>
      <c r="AA198" s="1">
        <v>7</v>
      </c>
      <c r="AB198" s="1">
        <v>0</v>
      </c>
      <c r="AC198" s="1">
        <v>0</v>
      </c>
      <c r="AD198" s="1">
        <v>301</v>
      </c>
      <c r="AE198" s="1">
        <v>25</v>
      </c>
      <c r="AF198" s="1">
        <v>0</v>
      </c>
      <c r="AG198" s="1">
        <v>16</v>
      </c>
      <c r="AH198" s="1">
        <v>57</v>
      </c>
      <c r="AI198" s="1">
        <v>0</v>
      </c>
      <c r="AJ198" s="1">
        <v>2</v>
      </c>
      <c r="AK198" s="1">
        <v>1</v>
      </c>
      <c r="AL198" s="1">
        <v>0</v>
      </c>
      <c r="AM198" s="1">
        <v>0</v>
      </c>
      <c r="AN198" s="1">
        <v>0</v>
      </c>
    </row>
    <row r="199" spans="1:40" x14ac:dyDescent="0.3">
      <c r="A199" s="10">
        <v>45945</v>
      </c>
      <c r="B199" s="1">
        <v>36</v>
      </c>
      <c r="C199" s="1">
        <v>7</v>
      </c>
      <c r="D199" s="1">
        <v>0</v>
      </c>
      <c r="E199" s="1">
        <v>4</v>
      </c>
      <c r="F199" s="1">
        <v>247</v>
      </c>
      <c r="G199" s="1">
        <v>45</v>
      </c>
      <c r="H199" s="1">
        <v>2</v>
      </c>
      <c r="I199" s="1">
        <v>0</v>
      </c>
      <c r="J199" s="1"/>
      <c r="K199" s="1">
        <v>0</v>
      </c>
      <c r="L199" s="1">
        <v>2</v>
      </c>
      <c r="M199" s="1">
        <v>0</v>
      </c>
      <c r="N199" s="1">
        <v>0</v>
      </c>
      <c r="O199" s="1">
        <v>0</v>
      </c>
      <c r="P199" s="1">
        <v>0</v>
      </c>
      <c r="Q199" s="1">
        <v>0</v>
      </c>
      <c r="R199" s="1">
        <v>32</v>
      </c>
      <c r="S199" s="1">
        <v>4</v>
      </c>
      <c r="T199" s="1">
        <v>0</v>
      </c>
      <c r="U199" s="1">
        <v>7</v>
      </c>
      <c r="V199" s="1">
        <v>0</v>
      </c>
      <c r="W199" s="1">
        <v>0</v>
      </c>
      <c r="X199" s="1">
        <v>0</v>
      </c>
      <c r="Y199" s="1">
        <v>0</v>
      </c>
      <c r="Z199" s="1">
        <v>0</v>
      </c>
      <c r="AA199" s="1">
        <v>4</v>
      </c>
      <c r="AB199" s="1">
        <v>0</v>
      </c>
      <c r="AC199" s="1">
        <v>0</v>
      </c>
      <c r="AD199" s="1">
        <v>228</v>
      </c>
      <c r="AE199" s="1">
        <v>19</v>
      </c>
      <c r="AF199" s="1">
        <v>0</v>
      </c>
      <c r="AG199" s="1">
        <v>7</v>
      </c>
      <c r="AH199" s="1">
        <v>38</v>
      </c>
      <c r="AI199" s="1">
        <v>0</v>
      </c>
      <c r="AJ199" s="1">
        <v>2</v>
      </c>
      <c r="AK199" s="1">
        <v>0</v>
      </c>
      <c r="AL199" s="1">
        <v>0</v>
      </c>
      <c r="AM199" s="1">
        <v>0</v>
      </c>
      <c r="AN199" s="1">
        <v>0</v>
      </c>
    </row>
    <row r="200" spans="1:40" x14ac:dyDescent="0.3">
      <c r="A200" s="10">
        <v>45946</v>
      </c>
      <c r="B200" s="1">
        <v>33</v>
      </c>
      <c r="C200" s="1">
        <v>11</v>
      </c>
      <c r="D200" s="1">
        <v>0</v>
      </c>
      <c r="E200" s="1">
        <v>10</v>
      </c>
      <c r="F200" s="1">
        <v>325</v>
      </c>
      <c r="G200" s="1">
        <v>61</v>
      </c>
      <c r="H200" s="1">
        <v>1</v>
      </c>
      <c r="I200" s="1">
        <v>0</v>
      </c>
      <c r="J200" s="1"/>
      <c r="K200" s="1">
        <v>0</v>
      </c>
      <c r="L200" s="1">
        <v>5</v>
      </c>
      <c r="M200" s="1">
        <v>0</v>
      </c>
      <c r="N200" s="1">
        <v>0</v>
      </c>
      <c r="O200" s="1">
        <v>0</v>
      </c>
      <c r="P200" s="1">
        <v>0</v>
      </c>
      <c r="Q200" s="1">
        <v>0</v>
      </c>
      <c r="R200" s="1">
        <v>30</v>
      </c>
      <c r="S200" s="1">
        <v>3</v>
      </c>
      <c r="T200" s="1">
        <v>0</v>
      </c>
      <c r="U200" s="1">
        <v>10</v>
      </c>
      <c r="V200" s="1">
        <v>1</v>
      </c>
      <c r="W200" s="1">
        <v>0</v>
      </c>
      <c r="X200" s="1">
        <v>0</v>
      </c>
      <c r="Y200" s="1">
        <v>0</v>
      </c>
      <c r="Z200" s="1">
        <v>0</v>
      </c>
      <c r="AA200" s="1">
        <v>10</v>
      </c>
      <c r="AB200" s="1">
        <v>0</v>
      </c>
      <c r="AC200" s="1">
        <v>0</v>
      </c>
      <c r="AD200" s="1">
        <v>280</v>
      </c>
      <c r="AE200" s="1">
        <v>45</v>
      </c>
      <c r="AF200" s="1">
        <v>0</v>
      </c>
      <c r="AG200" s="1">
        <v>9</v>
      </c>
      <c r="AH200" s="1">
        <v>52</v>
      </c>
      <c r="AI200" s="1">
        <v>0</v>
      </c>
      <c r="AJ200" s="1">
        <v>0</v>
      </c>
      <c r="AK200" s="1">
        <v>1</v>
      </c>
      <c r="AL200" s="1">
        <v>0</v>
      </c>
      <c r="AM200" s="1">
        <v>0</v>
      </c>
      <c r="AN200" s="1">
        <v>0</v>
      </c>
    </row>
    <row r="201" spans="1:40" x14ac:dyDescent="0.3">
      <c r="A201" s="10">
        <v>45947</v>
      </c>
      <c r="B201" s="1">
        <v>54</v>
      </c>
      <c r="C201" s="1">
        <v>13</v>
      </c>
      <c r="D201" s="1">
        <v>0</v>
      </c>
      <c r="E201" s="1">
        <v>14</v>
      </c>
      <c r="F201" s="1">
        <v>305</v>
      </c>
      <c r="G201" s="1">
        <v>49</v>
      </c>
      <c r="H201" s="1">
        <v>5</v>
      </c>
      <c r="I201" s="1">
        <v>0</v>
      </c>
      <c r="J201" s="1"/>
      <c r="K201" s="1">
        <v>0</v>
      </c>
      <c r="L201" s="1">
        <v>8</v>
      </c>
      <c r="M201" s="1">
        <v>0</v>
      </c>
      <c r="N201" s="1">
        <v>0</v>
      </c>
      <c r="O201" s="1">
        <v>2</v>
      </c>
      <c r="P201" s="1">
        <v>0</v>
      </c>
      <c r="Q201" s="1">
        <v>0</v>
      </c>
      <c r="R201" s="1">
        <v>51</v>
      </c>
      <c r="S201" s="1">
        <v>3</v>
      </c>
      <c r="T201" s="1">
        <v>0</v>
      </c>
      <c r="U201" s="1">
        <v>12</v>
      </c>
      <c r="V201" s="1">
        <v>1</v>
      </c>
      <c r="W201" s="1">
        <v>0</v>
      </c>
      <c r="X201" s="1">
        <v>0</v>
      </c>
      <c r="Y201" s="1">
        <v>0</v>
      </c>
      <c r="Z201" s="1">
        <v>0</v>
      </c>
      <c r="AA201" s="1">
        <v>12</v>
      </c>
      <c r="AB201" s="1">
        <v>2</v>
      </c>
      <c r="AC201" s="1">
        <v>0</v>
      </c>
      <c r="AD201" s="1">
        <v>283</v>
      </c>
      <c r="AE201" s="1">
        <v>22</v>
      </c>
      <c r="AF201" s="1">
        <v>0</v>
      </c>
      <c r="AG201" s="1">
        <v>12</v>
      </c>
      <c r="AH201" s="1">
        <v>37</v>
      </c>
      <c r="AI201" s="1">
        <v>0</v>
      </c>
      <c r="AJ201" s="1">
        <v>2</v>
      </c>
      <c r="AK201" s="1">
        <v>3</v>
      </c>
      <c r="AL201" s="1">
        <v>0</v>
      </c>
      <c r="AM201" s="1">
        <v>0</v>
      </c>
      <c r="AN201" s="1">
        <v>0</v>
      </c>
    </row>
    <row r="202" spans="1:40" x14ac:dyDescent="0.3">
      <c r="A202" s="10">
        <v>45948</v>
      </c>
      <c r="B202" s="1">
        <v>16</v>
      </c>
      <c r="C202" s="1">
        <v>4</v>
      </c>
      <c r="D202" s="1">
        <v>0</v>
      </c>
      <c r="E202" s="1">
        <v>8</v>
      </c>
      <c r="F202" s="1">
        <v>150</v>
      </c>
      <c r="G202" s="1">
        <v>25</v>
      </c>
      <c r="H202" s="1">
        <v>1</v>
      </c>
      <c r="I202" s="1">
        <v>0</v>
      </c>
      <c r="J202" s="1"/>
      <c r="K202" s="1">
        <v>0</v>
      </c>
      <c r="L202" s="1">
        <v>6</v>
      </c>
      <c r="M202" s="1">
        <v>0</v>
      </c>
      <c r="N202" s="1">
        <v>0</v>
      </c>
      <c r="O202" s="1">
        <v>0</v>
      </c>
      <c r="P202" s="1">
        <v>0</v>
      </c>
      <c r="Q202" s="1">
        <v>0</v>
      </c>
      <c r="R202" s="1">
        <v>14</v>
      </c>
      <c r="S202" s="1">
        <v>2</v>
      </c>
      <c r="T202" s="1">
        <v>0</v>
      </c>
      <c r="U202" s="1">
        <v>3</v>
      </c>
      <c r="V202" s="1">
        <v>1</v>
      </c>
      <c r="W202" s="1">
        <v>0</v>
      </c>
      <c r="X202" s="1">
        <v>0</v>
      </c>
      <c r="Y202" s="1">
        <v>0</v>
      </c>
      <c r="Z202" s="1">
        <v>0</v>
      </c>
      <c r="AA202" s="1">
        <v>8</v>
      </c>
      <c r="AB202" s="1">
        <v>0</v>
      </c>
      <c r="AC202" s="1">
        <v>0</v>
      </c>
      <c r="AD202" s="1">
        <v>132</v>
      </c>
      <c r="AE202" s="1">
        <v>18</v>
      </c>
      <c r="AF202" s="1">
        <v>0</v>
      </c>
      <c r="AG202" s="1">
        <v>12</v>
      </c>
      <c r="AH202" s="1">
        <v>13</v>
      </c>
      <c r="AI202" s="1">
        <v>0</v>
      </c>
      <c r="AJ202" s="1">
        <v>0</v>
      </c>
      <c r="AK202" s="1">
        <v>1</v>
      </c>
      <c r="AL202" s="1">
        <v>0</v>
      </c>
      <c r="AM202" s="1">
        <v>0</v>
      </c>
      <c r="AN202" s="1">
        <v>0</v>
      </c>
    </row>
    <row r="203" spans="1:40" x14ac:dyDescent="0.3">
      <c r="A203" s="10">
        <v>45949</v>
      </c>
      <c r="B203" s="1">
        <v>50</v>
      </c>
      <c r="C203" s="1">
        <v>13</v>
      </c>
      <c r="D203" s="1">
        <v>0</v>
      </c>
      <c r="E203" s="1">
        <v>4</v>
      </c>
      <c r="F203" s="1">
        <v>122</v>
      </c>
      <c r="G203" s="1">
        <v>27</v>
      </c>
      <c r="H203" s="1">
        <v>1</v>
      </c>
      <c r="I203" s="1">
        <v>0</v>
      </c>
      <c r="J203" s="1"/>
      <c r="K203" s="1">
        <v>0</v>
      </c>
      <c r="L203" s="1">
        <v>2</v>
      </c>
      <c r="M203" s="1">
        <v>0</v>
      </c>
      <c r="N203" s="1">
        <v>0</v>
      </c>
      <c r="O203" s="1">
        <v>0</v>
      </c>
      <c r="P203" s="1">
        <v>0</v>
      </c>
      <c r="Q203" s="1">
        <v>0</v>
      </c>
      <c r="R203" s="1">
        <v>45</v>
      </c>
      <c r="S203" s="1">
        <v>5</v>
      </c>
      <c r="T203" s="1">
        <v>0</v>
      </c>
      <c r="U203" s="1">
        <v>13</v>
      </c>
      <c r="V203" s="1">
        <v>0</v>
      </c>
      <c r="W203" s="1">
        <v>0</v>
      </c>
      <c r="X203" s="1">
        <v>0</v>
      </c>
      <c r="Y203" s="1">
        <v>0</v>
      </c>
      <c r="Z203" s="1">
        <v>0</v>
      </c>
      <c r="AA203" s="1">
        <v>4</v>
      </c>
      <c r="AB203" s="1">
        <v>0</v>
      </c>
      <c r="AC203" s="1">
        <v>0</v>
      </c>
      <c r="AD203" s="1">
        <v>110</v>
      </c>
      <c r="AE203" s="1">
        <v>12</v>
      </c>
      <c r="AF203" s="1">
        <v>0</v>
      </c>
      <c r="AG203" s="1">
        <v>10</v>
      </c>
      <c r="AH203" s="1">
        <v>17</v>
      </c>
      <c r="AI203" s="1">
        <v>0</v>
      </c>
      <c r="AJ203" s="1">
        <v>1</v>
      </c>
      <c r="AK203" s="1">
        <v>0</v>
      </c>
      <c r="AL203" s="1">
        <v>0</v>
      </c>
      <c r="AM203" s="1">
        <v>0</v>
      </c>
      <c r="AN203" s="1">
        <v>0</v>
      </c>
    </row>
    <row r="204" spans="1:40" x14ac:dyDescent="0.3">
      <c r="A204" s="10">
        <v>45950</v>
      </c>
      <c r="B204" s="1">
        <v>69</v>
      </c>
      <c r="C204" s="1">
        <v>10</v>
      </c>
      <c r="D204" s="1">
        <v>0</v>
      </c>
      <c r="E204" s="1">
        <v>0</v>
      </c>
      <c r="F204" s="1">
        <v>49</v>
      </c>
      <c r="G204" s="1">
        <v>26</v>
      </c>
      <c r="H204" s="1">
        <v>1</v>
      </c>
      <c r="I204" s="1">
        <v>0</v>
      </c>
      <c r="J204" s="1"/>
      <c r="K204" s="1">
        <v>0</v>
      </c>
      <c r="L204" s="1">
        <v>40</v>
      </c>
      <c r="M204" s="1">
        <v>0</v>
      </c>
      <c r="N204" s="1">
        <v>0</v>
      </c>
      <c r="O204" s="1">
        <v>5</v>
      </c>
      <c r="P204" s="1">
        <v>0</v>
      </c>
      <c r="Q204" s="1">
        <v>0</v>
      </c>
      <c r="R204" s="1">
        <v>65</v>
      </c>
      <c r="S204" s="1">
        <v>4</v>
      </c>
      <c r="T204" s="1">
        <v>0</v>
      </c>
      <c r="U204" s="1">
        <v>10</v>
      </c>
      <c r="V204" s="1">
        <v>0</v>
      </c>
      <c r="W204" s="1">
        <v>0</v>
      </c>
      <c r="X204" s="1">
        <v>0</v>
      </c>
      <c r="Y204" s="1">
        <v>0</v>
      </c>
      <c r="Z204" s="1">
        <v>0</v>
      </c>
      <c r="AA204" s="1">
        <v>0</v>
      </c>
      <c r="AB204" s="1">
        <v>0</v>
      </c>
      <c r="AC204" s="1">
        <v>0</v>
      </c>
      <c r="AD204" s="1">
        <v>44</v>
      </c>
      <c r="AE204" s="1">
        <v>5</v>
      </c>
      <c r="AF204" s="1">
        <v>0</v>
      </c>
      <c r="AG204" s="1">
        <v>8</v>
      </c>
      <c r="AH204" s="1">
        <v>18</v>
      </c>
      <c r="AI204" s="1">
        <v>0</v>
      </c>
      <c r="AJ204" s="1">
        <v>0</v>
      </c>
      <c r="AK204" s="1">
        <v>1</v>
      </c>
      <c r="AL204" s="1">
        <v>0</v>
      </c>
      <c r="AM204" s="1">
        <v>0</v>
      </c>
      <c r="AN204" s="1">
        <v>0</v>
      </c>
    </row>
    <row r="205" spans="1:40" x14ac:dyDescent="0.3">
      <c r="A205" s="10">
        <v>45951</v>
      </c>
      <c r="B205" s="1">
        <v>46</v>
      </c>
      <c r="C205" s="1">
        <v>11</v>
      </c>
      <c r="D205" s="1">
        <v>0</v>
      </c>
      <c r="E205" s="1">
        <v>0</v>
      </c>
      <c r="F205" s="1">
        <v>63</v>
      </c>
      <c r="G205" s="1">
        <v>30</v>
      </c>
      <c r="H205" s="1">
        <v>5</v>
      </c>
      <c r="I205" s="1">
        <v>0</v>
      </c>
      <c r="J205" s="1"/>
      <c r="K205" s="1">
        <v>0</v>
      </c>
      <c r="L205" s="1">
        <v>15</v>
      </c>
      <c r="M205" s="1">
        <v>0</v>
      </c>
      <c r="N205" s="1">
        <v>0</v>
      </c>
      <c r="O205" s="1">
        <v>0</v>
      </c>
      <c r="P205" s="1">
        <v>0</v>
      </c>
      <c r="Q205" s="1">
        <v>0</v>
      </c>
      <c r="R205" s="1">
        <v>43</v>
      </c>
      <c r="S205" s="1">
        <v>3</v>
      </c>
      <c r="T205" s="1">
        <v>0</v>
      </c>
      <c r="U205" s="1">
        <v>11</v>
      </c>
      <c r="V205" s="1">
        <v>0</v>
      </c>
      <c r="W205" s="1">
        <v>0</v>
      </c>
      <c r="X205" s="1">
        <v>0</v>
      </c>
      <c r="Y205" s="1">
        <v>0</v>
      </c>
      <c r="Z205" s="1">
        <v>0</v>
      </c>
      <c r="AA205" s="1">
        <v>0</v>
      </c>
      <c r="AB205" s="1">
        <v>0</v>
      </c>
      <c r="AC205" s="1">
        <v>0</v>
      </c>
      <c r="AD205" s="1">
        <v>56</v>
      </c>
      <c r="AE205" s="1">
        <v>7</v>
      </c>
      <c r="AF205" s="1">
        <v>0</v>
      </c>
      <c r="AG205" s="1">
        <v>5</v>
      </c>
      <c r="AH205" s="1">
        <v>25</v>
      </c>
      <c r="AI205" s="1">
        <v>0</v>
      </c>
      <c r="AJ205" s="1">
        <v>2</v>
      </c>
      <c r="AK205" s="1">
        <v>3</v>
      </c>
      <c r="AL205" s="1">
        <v>0</v>
      </c>
      <c r="AM205" s="1">
        <v>0</v>
      </c>
      <c r="AN205" s="1">
        <v>0</v>
      </c>
    </row>
    <row r="206" spans="1:40" x14ac:dyDescent="0.3">
      <c r="A206" s="10">
        <v>45952</v>
      </c>
      <c r="B206" s="1">
        <v>16</v>
      </c>
      <c r="C206" s="1">
        <v>5</v>
      </c>
      <c r="D206" s="1">
        <v>0</v>
      </c>
      <c r="E206" s="1">
        <v>0</v>
      </c>
      <c r="F206" s="1">
        <v>71</v>
      </c>
      <c r="G206" s="1">
        <v>29</v>
      </c>
      <c r="H206" s="1">
        <v>3</v>
      </c>
      <c r="I206" s="1">
        <v>0</v>
      </c>
      <c r="J206" s="1"/>
      <c r="K206" s="1">
        <v>0</v>
      </c>
      <c r="L206" s="1">
        <v>16</v>
      </c>
      <c r="M206" s="1">
        <v>0</v>
      </c>
      <c r="N206" s="1">
        <v>0</v>
      </c>
      <c r="O206" s="1">
        <v>3</v>
      </c>
      <c r="P206" s="1">
        <v>0</v>
      </c>
      <c r="Q206" s="1">
        <v>0</v>
      </c>
      <c r="R206" s="1">
        <v>13</v>
      </c>
      <c r="S206" s="1">
        <v>3</v>
      </c>
      <c r="T206" s="1">
        <v>0</v>
      </c>
      <c r="U206" s="1">
        <v>5</v>
      </c>
      <c r="V206" s="1">
        <v>0</v>
      </c>
      <c r="W206" s="1">
        <v>0</v>
      </c>
      <c r="X206" s="1">
        <v>0</v>
      </c>
      <c r="Y206" s="1">
        <v>0</v>
      </c>
      <c r="Z206" s="1">
        <v>0</v>
      </c>
      <c r="AA206" s="1">
        <v>0</v>
      </c>
      <c r="AB206" s="1">
        <v>0</v>
      </c>
      <c r="AC206" s="1">
        <v>0</v>
      </c>
      <c r="AD206" s="1">
        <v>65</v>
      </c>
      <c r="AE206" s="1">
        <v>6</v>
      </c>
      <c r="AF206" s="1">
        <v>0</v>
      </c>
      <c r="AG206" s="1">
        <v>4</v>
      </c>
      <c r="AH206" s="1">
        <v>25</v>
      </c>
      <c r="AI206" s="1">
        <v>0</v>
      </c>
      <c r="AJ206" s="1">
        <v>1</v>
      </c>
      <c r="AK206" s="1">
        <v>2</v>
      </c>
      <c r="AL206" s="1">
        <v>0</v>
      </c>
      <c r="AM206" s="1">
        <v>0</v>
      </c>
      <c r="AN206" s="1">
        <v>0</v>
      </c>
    </row>
    <row r="207" spans="1:40" x14ac:dyDescent="0.3">
      <c r="A207" s="10">
        <v>45953</v>
      </c>
      <c r="B207" s="1">
        <v>22</v>
      </c>
      <c r="C207" s="1">
        <v>4</v>
      </c>
      <c r="D207" s="1">
        <v>0</v>
      </c>
      <c r="E207" s="1">
        <v>0</v>
      </c>
      <c r="F207" s="1">
        <v>24</v>
      </c>
      <c r="G207" s="1">
        <v>9</v>
      </c>
      <c r="H207" s="1">
        <v>5</v>
      </c>
      <c r="I207" s="1">
        <v>0</v>
      </c>
      <c r="J207" s="1"/>
      <c r="K207" s="1">
        <v>0</v>
      </c>
      <c r="L207" s="1">
        <v>7</v>
      </c>
      <c r="M207" s="1">
        <v>0</v>
      </c>
      <c r="N207" s="1">
        <v>0</v>
      </c>
      <c r="O207" s="1">
        <v>0</v>
      </c>
      <c r="P207" s="1">
        <v>0</v>
      </c>
      <c r="Q207" s="1">
        <v>0</v>
      </c>
      <c r="R207" s="1">
        <v>19</v>
      </c>
      <c r="S207" s="1">
        <v>3</v>
      </c>
      <c r="T207" s="1">
        <v>0</v>
      </c>
      <c r="U207" s="1">
        <v>4</v>
      </c>
      <c r="V207" s="1">
        <v>0</v>
      </c>
      <c r="W207" s="1">
        <v>0</v>
      </c>
      <c r="X207" s="1">
        <v>0</v>
      </c>
      <c r="Y207" s="1">
        <v>0</v>
      </c>
      <c r="Z207" s="1">
        <v>0</v>
      </c>
      <c r="AA207" s="1">
        <v>0</v>
      </c>
      <c r="AB207" s="1">
        <v>0</v>
      </c>
      <c r="AC207" s="1">
        <v>0</v>
      </c>
      <c r="AD207" s="1">
        <v>22</v>
      </c>
      <c r="AE207" s="1">
        <v>2</v>
      </c>
      <c r="AF207" s="1">
        <v>0</v>
      </c>
      <c r="AG207" s="1">
        <v>1</v>
      </c>
      <c r="AH207" s="1">
        <v>8</v>
      </c>
      <c r="AI207" s="1">
        <v>0</v>
      </c>
      <c r="AJ207" s="1">
        <v>4</v>
      </c>
      <c r="AK207" s="1">
        <v>1</v>
      </c>
      <c r="AL207" s="1">
        <v>0</v>
      </c>
      <c r="AM207" s="1">
        <v>0</v>
      </c>
      <c r="AN207" s="1">
        <v>0</v>
      </c>
    </row>
    <row r="208" spans="1:40" x14ac:dyDescent="0.3">
      <c r="A208" s="10">
        <v>45954</v>
      </c>
      <c r="B208" s="1">
        <v>0</v>
      </c>
      <c r="C208" s="1">
        <v>0</v>
      </c>
      <c r="D208" s="1">
        <v>0</v>
      </c>
      <c r="E208" s="1">
        <v>0</v>
      </c>
      <c r="F208" s="1">
        <v>0</v>
      </c>
      <c r="G208" s="1">
        <v>0</v>
      </c>
      <c r="H208" s="1">
        <v>0</v>
      </c>
      <c r="I208" s="1">
        <v>0</v>
      </c>
      <c r="J208" s="1"/>
      <c r="K208" s="1">
        <v>0</v>
      </c>
      <c r="L208" s="1">
        <v>0</v>
      </c>
      <c r="M208" s="1">
        <v>0</v>
      </c>
      <c r="N208" s="1">
        <v>0</v>
      </c>
      <c r="O208" s="1">
        <v>0</v>
      </c>
      <c r="P208" s="1">
        <v>0</v>
      </c>
      <c r="Q208" s="1">
        <v>0</v>
      </c>
      <c r="R208" s="1">
        <v>0</v>
      </c>
      <c r="S208" s="1">
        <v>0</v>
      </c>
      <c r="T208" s="1">
        <v>0</v>
      </c>
      <c r="U208" s="1">
        <v>0</v>
      </c>
      <c r="V208" s="1">
        <v>0</v>
      </c>
      <c r="W208" s="1">
        <v>0</v>
      </c>
      <c r="X208" s="1">
        <v>0</v>
      </c>
      <c r="Y208" s="1">
        <v>0</v>
      </c>
      <c r="Z208" s="1">
        <v>0</v>
      </c>
      <c r="AA208" s="1">
        <v>0</v>
      </c>
      <c r="AB208" s="1">
        <v>0</v>
      </c>
      <c r="AC208" s="1">
        <v>0</v>
      </c>
      <c r="AD208" s="1">
        <v>0</v>
      </c>
      <c r="AE208" s="1">
        <v>0</v>
      </c>
      <c r="AF208" s="1">
        <v>0</v>
      </c>
      <c r="AG208" s="1">
        <v>0</v>
      </c>
      <c r="AH208" s="1">
        <v>0</v>
      </c>
      <c r="AI208" s="1">
        <v>0</v>
      </c>
      <c r="AJ208" s="1">
        <v>0</v>
      </c>
      <c r="AK208" s="1">
        <v>0</v>
      </c>
      <c r="AL208" s="1">
        <v>0</v>
      </c>
      <c r="AM208" s="1">
        <v>0</v>
      </c>
      <c r="AN208" s="1">
        <v>0</v>
      </c>
    </row>
    <row r="209" spans="1:40" x14ac:dyDescent="0.3">
      <c r="A209" s="10">
        <v>45955</v>
      </c>
      <c r="B209" s="1">
        <v>0</v>
      </c>
      <c r="C209" s="1">
        <v>0</v>
      </c>
      <c r="D209" s="1">
        <v>0</v>
      </c>
      <c r="E209" s="1">
        <v>0</v>
      </c>
      <c r="F209" s="1">
        <v>0</v>
      </c>
      <c r="G209" s="1">
        <v>0</v>
      </c>
      <c r="H209" s="1">
        <v>0</v>
      </c>
      <c r="I209" s="1">
        <v>0</v>
      </c>
      <c r="J209" s="1"/>
      <c r="K209" s="1">
        <v>0</v>
      </c>
      <c r="L209" s="1">
        <v>0</v>
      </c>
      <c r="M209" s="1">
        <v>0</v>
      </c>
      <c r="N209" s="1">
        <v>0</v>
      </c>
      <c r="O209" s="1">
        <v>0</v>
      </c>
      <c r="P209" s="1">
        <v>0</v>
      </c>
      <c r="Q209" s="1">
        <v>0</v>
      </c>
      <c r="R209" s="1">
        <v>0</v>
      </c>
      <c r="S209" s="1">
        <v>0</v>
      </c>
      <c r="T209" s="1">
        <v>0</v>
      </c>
      <c r="U209" s="1">
        <v>0</v>
      </c>
      <c r="V209" s="1">
        <v>0</v>
      </c>
      <c r="W209" s="1">
        <v>0</v>
      </c>
      <c r="X209" s="1">
        <v>0</v>
      </c>
      <c r="Y209" s="1">
        <v>0</v>
      </c>
      <c r="Z209" s="1">
        <v>0</v>
      </c>
      <c r="AA209" s="1">
        <v>0</v>
      </c>
      <c r="AB209" s="1">
        <v>0</v>
      </c>
      <c r="AC209" s="1">
        <v>0</v>
      </c>
      <c r="AD209" s="1">
        <v>0</v>
      </c>
      <c r="AE209" s="1">
        <v>0</v>
      </c>
      <c r="AF209" s="1">
        <v>0</v>
      </c>
      <c r="AG209" s="1">
        <v>0</v>
      </c>
      <c r="AH209" s="1">
        <v>0</v>
      </c>
      <c r="AI209" s="1">
        <v>0</v>
      </c>
      <c r="AJ209" s="1">
        <v>0</v>
      </c>
      <c r="AK209" s="1">
        <v>0</v>
      </c>
      <c r="AL209" s="1">
        <v>0</v>
      </c>
      <c r="AM209" s="1">
        <v>0</v>
      </c>
      <c r="AN209" s="1">
        <v>0</v>
      </c>
    </row>
    <row r="210" spans="1:40" x14ac:dyDescent="0.3">
      <c r="A210" s="10">
        <v>45956</v>
      </c>
      <c r="B210" s="1">
        <v>0</v>
      </c>
      <c r="C210" s="1">
        <v>0</v>
      </c>
      <c r="D210" s="1">
        <v>0</v>
      </c>
      <c r="E210" s="1">
        <v>0</v>
      </c>
      <c r="F210" s="1">
        <v>0</v>
      </c>
      <c r="G210" s="1">
        <v>0</v>
      </c>
      <c r="H210" s="1">
        <v>0</v>
      </c>
      <c r="I210" s="1">
        <v>0</v>
      </c>
      <c r="K210" s="1">
        <v>0</v>
      </c>
      <c r="L210" s="1">
        <v>0</v>
      </c>
      <c r="M210" s="1">
        <v>0</v>
      </c>
      <c r="N210" s="1">
        <v>0</v>
      </c>
      <c r="O210" s="1">
        <v>0</v>
      </c>
      <c r="P210" s="1">
        <v>0</v>
      </c>
      <c r="Q210" s="1">
        <v>0</v>
      </c>
      <c r="R210" s="1">
        <v>0</v>
      </c>
      <c r="S210" s="1">
        <v>0</v>
      </c>
      <c r="T210" s="1">
        <v>0</v>
      </c>
      <c r="U210" s="1">
        <v>0</v>
      </c>
      <c r="V210" s="1">
        <v>0</v>
      </c>
      <c r="W210" s="1">
        <v>0</v>
      </c>
      <c r="X210" s="1">
        <v>0</v>
      </c>
      <c r="Y210" s="1">
        <v>0</v>
      </c>
      <c r="Z210" s="1">
        <v>0</v>
      </c>
      <c r="AA210" s="1">
        <v>0</v>
      </c>
      <c r="AB210" s="1">
        <v>0</v>
      </c>
      <c r="AC210" s="1">
        <v>0</v>
      </c>
      <c r="AD210" s="1">
        <v>0</v>
      </c>
      <c r="AE210" s="1">
        <v>0</v>
      </c>
      <c r="AF210" s="1">
        <v>0</v>
      </c>
      <c r="AG210" s="1">
        <v>0</v>
      </c>
      <c r="AH210" s="1">
        <v>0</v>
      </c>
      <c r="AI210" s="1">
        <v>0</v>
      </c>
      <c r="AJ210" s="1">
        <v>0</v>
      </c>
      <c r="AK210" s="1">
        <v>0</v>
      </c>
      <c r="AL210" s="1">
        <v>0</v>
      </c>
      <c r="AM210" s="1">
        <v>0</v>
      </c>
      <c r="AN210" s="1">
        <v>0</v>
      </c>
    </row>
    <row r="211" spans="1:40" x14ac:dyDescent="0.3">
      <c r="A211" s="10">
        <v>45957</v>
      </c>
      <c r="B211" s="1">
        <v>0</v>
      </c>
      <c r="C211" s="1">
        <v>0</v>
      </c>
      <c r="D211" s="1">
        <v>0</v>
      </c>
      <c r="E211" s="1">
        <v>0</v>
      </c>
      <c r="F211" s="1">
        <v>0</v>
      </c>
      <c r="G211" s="1">
        <v>0</v>
      </c>
      <c r="H211" s="1">
        <v>0</v>
      </c>
      <c r="I211" s="1">
        <v>0</v>
      </c>
      <c r="K211" s="1">
        <v>0</v>
      </c>
      <c r="L211" s="1">
        <v>0</v>
      </c>
      <c r="M211" s="1">
        <v>0</v>
      </c>
      <c r="N211" s="1">
        <v>0</v>
      </c>
      <c r="O211" s="1">
        <v>0</v>
      </c>
      <c r="P211" s="1">
        <v>0</v>
      </c>
      <c r="Q211" s="1">
        <v>0</v>
      </c>
      <c r="R211" s="1">
        <v>0</v>
      </c>
      <c r="S211" s="1">
        <v>0</v>
      </c>
      <c r="T211" s="1">
        <v>0</v>
      </c>
      <c r="U211" s="1">
        <v>0</v>
      </c>
      <c r="V211" s="1">
        <v>0</v>
      </c>
      <c r="W211" s="1">
        <v>0</v>
      </c>
      <c r="X211" s="1">
        <v>0</v>
      </c>
      <c r="Y211" s="1">
        <v>0</v>
      </c>
      <c r="Z211" s="1">
        <v>0</v>
      </c>
      <c r="AA211" s="1">
        <v>0</v>
      </c>
      <c r="AB211" s="1">
        <v>0</v>
      </c>
      <c r="AC211" s="1">
        <v>0</v>
      </c>
      <c r="AD211" s="1">
        <v>0</v>
      </c>
      <c r="AE211" s="1">
        <v>0</v>
      </c>
      <c r="AF211" s="1">
        <v>0</v>
      </c>
      <c r="AG211" s="1">
        <v>0</v>
      </c>
      <c r="AH211" s="1">
        <v>0</v>
      </c>
      <c r="AI211" s="1">
        <v>0</v>
      </c>
      <c r="AJ211" s="1">
        <v>0</v>
      </c>
      <c r="AK211" s="1">
        <v>0</v>
      </c>
      <c r="AL211" s="1">
        <v>0</v>
      </c>
      <c r="AM211" s="1">
        <v>0</v>
      </c>
      <c r="AN211" s="1">
        <v>0</v>
      </c>
    </row>
    <row r="212" spans="1:40" x14ac:dyDescent="0.3">
      <c r="A212" s="10">
        <v>45958</v>
      </c>
      <c r="B212" s="1">
        <v>0</v>
      </c>
      <c r="C212" s="1">
        <v>0</v>
      </c>
      <c r="D212" s="1">
        <v>0</v>
      </c>
      <c r="E212" s="1">
        <v>0</v>
      </c>
      <c r="F212" s="1">
        <v>0</v>
      </c>
      <c r="G212" s="1">
        <v>0</v>
      </c>
      <c r="H212" s="1">
        <v>0</v>
      </c>
      <c r="I212" s="1">
        <v>0</v>
      </c>
      <c r="K212" s="1">
        <v>0</v>
      </c>
      <c r="L212" s="1">
        <v>0</v>
      </c>
      <c r="M212" s="1">
        <v>0</v>
      </c>
      <c r="N212" s="1">
        <v>0</v>
      </c>
      <c r="O212" s="1">
        <v>0</v>
      </c>
      <c r="P212" s="1">
        <v>0</v>
      </c>
      <c r="Q212" s="1">
        <v>0</v>
      </c>
      <c r="R212" s="1">
        <v>0</v>
      </c>
      <c r="S212" s="1">
        <v>0</v>
      </c>
      <c r="T212" s="1">
        <v>0</v>
      </c>
      <c r="U212" s="1">
        <v>0</v>
      </c>
      <c r="V212" s="1">
        <v>0</v>
      </c>
      <c r="W212" s="1">
        <v>0</v>
      </c>
      <c r="X212" s="1">
        <v>0</v>
      </c>
      <c r="Y212" s="1">
        <v>0</v>
      </c>
      <c r="Z212" s="1">
        <v>0</v>
      </c>
      <c r="AA212" s="1">
        <v>0</v>
      </c>
      <c r="AB212" s="1">
        <v>0</v>
      </c>
      <c r="AC212" s="1">
        <v>0</v>
      </c>
      <c r="AD212" s="1">
        <v>0</v>
      </c>
      <c r="AE212" s="1">
        <v>0</v>
      </c>
      <c r="AF212" s="1">
        <v>0</v>
      </c>
      <c r="AG212" s="1">
        <v>0</v>
      </c>
      <c r="AH212" s="1">
        <v>0</v>
      </c>
      <c r="AI212" s="1">
        <v>0</v>
      </c>
      <c r="AJ212" s="1">
        <v>0</v>
      </c>
      <c r="AK212" s="1">
        <v>0</v>
      </c>
      <c r="AL212" s="1">
        <v>0</v>
      </c>
      <c r="AM212" s="1">
        <v>0</v>
      </c>
      <c r="AN212" s="1">
        <v>0</v>
      </c>
    </row>
    <row r="213" spans="1:40" x14ac:dyDescent="0.3">
      <c r="A213" s="10">
        <v>45959</v>
      </c>
      <c r="B213" s="1">
        <v>0</v>
      </c>
      <c r="C213" s="1">
        <v>0</v>
      </c>
      <c r="D213" s="1">
        <v>0</v>
      </c>
      <c r="E213" s="1">
        <v>0</v>
      </c>
      <c r="F213" s="1">
        <v>0</v>
      </c>
      <c r="G213" s="1">
        <v>0</v>
      </c>
      <c r="H213" s="1">
        <v>0</v>
      </c>
      <c r="I213" s="1">
        <v>0</v>
      </c>
      <c r="K213" s="1">
        <v>0</v>
      </c>
      <c r="L213" s="1">
        <v>0</v>
      </c>
      <c r="M213" s="1">
        <v>0</v>
      </c>
      <c r="N213" s="1">
        <v>0</v>
      </c>
      <c r="O213" s="1">
        <v>0</v>
      </c>
      <c r="P213" s="1">
        <v>0</v>
      </c>
      <c r="Q213" s="1">
        <v>0</v>
      </c>
      <c r="R213" s="1">
        <v>0</v>
      </c>
      <c r="S213" s="1">
        <v>0</v>
      </c>
      <c r="T213" s="1">
        <v>0</v>
      </c>
      <c r="U213" s="1">
        <v>0</v>
      </c>
      <c r="V213" s="1">
        <v>0</v>
      </c>
      <c r="W213" s="1">
        <v>0</v>
      </c>
      <c r="X213" s="1">
        <v>0</v>
      </c>
      <c r="Y213" s="1">
        <v>0</v>
      </c>
      <c r="Z213" s="1">
        <v>0</v>
      </c>
      <c r="AA213" s="1">
        <v>0</v>
      </c>
      <c r="AB213" s="1">
        <v>0</v>
      </c>
      <c r="AC213" s="1">
        <v>0</v>
      </c>
      <c r="AD213" s="1">
        <v>0</v>
      </c>
      <c r="AE213" s="1">
        <v>0</v>
      </c>
      <c r="AF213" s="1">
        <v>0</v>
      </c>
      <c r="AG213" s="1">
        <v>0</v>
      </c>
      <c r="AH213" s="1">
        <v>0</v>
      </c>
      <c r="AI213" s="1">
        <v>0</v>
      </c>
      <c r="AJ213" s="1">
        <v>0</v>
      </c>
      <c r="AK213" s="1">
        <v>0</v>
      </c>
      <c r="AL213" s="1">
        <v>0</v>
      </c>
      <c r="AM213" s="1">
        <v>0</v>
      </c>
      <c r="AN213" s="1">
        <v>0</v>
      </c>
    </row>
    <row r="214" spans="1:40" x14ac:dyDescent="0.3">
      <c r="A214" s="10">
        <v>45960</v>
      </c>
      <c r="B214" s="1">
        <v>0</v>
      </c>
      <c r="C214" s="1">
        <v>0</v>
      </c>
      <c r="D214" s="1">
        <v>0</v>
      </c>
      <c r="E214" s="1">
        <v>0</v>
      </c>
      <c r="F214" s="1">
        <v>0</v>
      </c>
      <c r="G214" s="1">
        <v>0</v>
      </c>
      <c r="H214" s="1">
        <v>0</v>
      </c>
      <c r="I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0</v>
      </c>
      <c r="P214" s="1">
        <v>0</v>
      </c>
      <c r="Q214" s="1">
        <v>0</v>
      </c>
      <c r="R214" s="1">
        <v>0</v>
      </c>
      <c r="S214" s="1">
        <v>0</v>
      </c>
      <c r="T214" s="1">
        <v>0</v>
      </c>
      <c r="U214" s="1">
        <v>0</v>
      </c>
      <c r="V214" s="1">
        <v>0</v>
      </c>
      <c r="W214" s="1">
        <v>0</v>
      </c>
      <c r="X214" s="1">
        <v>0</v>
      </c>
      <c r="Y214" s="1">
        <v>0</v>
      </c>
      <c r="Z214" s="1">
        <v>0</v>
      </c>
      <c r="AA214" s="1">
        <v>0</v>
      </c>
      <c r="AB214" s="1">
        <v>0</v>
      </c>
      <c r="AC214" s="1">
        <v>0</v>
      </c>
      <c r="AD214" s="1">
        <v>0</v>
      </c>
      <c r="AE214" s="1">
        <v>0</v>
      </c>
      <c r="AF214" s="1">
        <v>0</v>
      </c>
      <c r="AG214" s="1">
        <v>0</v>
      </c>
      <c r="AH214" s="1">
        <v>0</v>
      </c>
      <c r="AI214" s="1">
        <v>0</v>
      </c>
      <c r="AJ214" s="1">
        <v>0</v>
      </c>
      <c r="AK214" s="1">
        <v>0</v>
      </c>
      <c r="AL214" s="1">
        <v>0</v>
      </c>
      <c r="AM214" s="1">
        <v>0</v>
      </c>
      <c r="AN214" s="1">
        <v>0</v>
      </c>
    </row>
    <row r="215" spans="1:40" x14ac:dyDescent="0.3">
      <c r="A215" s="10"/>
      <c r="B215" s="1"/>
      <c r="C215" s="1"/>
      <c r="D215" s="1"/>
      <c r="E215" s="1"/>
      <c r="F215" s="1"/>
      <c r="G215" s="1"/>
      <c r="H215" s="1"/>
      <c r="I215" s="1"/>
    </row>
    <row r="216" spans="1:40" x14ac:dyDescent="0.3">
      <c r="A216" s="10"/>
      <c r="B216" s="1"/>
      <c r="C216" s="1"/>
      <c r="D216" s="1"/>
      <c r="E216" s="1"/>
      <c r="F216" s="1"/>
      <c r="G216" s="1"/>
      <c r="H216" s="1"/>
      <c r="I216" s="1"/>
    </row>
    <row r="217" spans="1:40" x14ac:dyDescent="0.3">
      <c r="A217" s="10"/>
      <c r="B217" s="1"/>
      <c r="C217" s="1"/>
      <c r="D217" s="1"/>
      <c r="E217" s="1"/>
      <c r="F217" s="1"/>
      <c r="G217" s="1"/>
      <c r="H217" s="1"/>
      <c r="I217" s="1"/>
    </row>
    <row r="218" spans="1:40" x14ac:dyDescent="0.3">
      <c r="A218" s="10"/>
      <c r="B218" s="1"/>
      <c r="C218" s="1"/>
      <c r="D218" s="1"/>
      <c r="E218" s="1"/>
      <c r="F218" s="1"/>
      <c r="G218" s="1"/>
      <c r="H218" s="1"/>
      <c r="I218" s="1"/>
    </row>
    <row r="219" spans="1:40" x14ac:dyDescent="0.3">
      <c r="A219" s="10"/>
      <c r="B219" s="1"/>
      <c r="C219" s="1"/>
      <c r="D219" s="1"/>
      <c r="E219" s="1"/>
      <c r="F219" s="1"/>
      <c r="G219" s="1"/>
      <c r="H219" s="1"/>
      <c r="I219" s="1"/>
    </row>
    <row r="220" spans="1:40" x14ac:dyDescent="0.3">
      <c r="B220" s="1"/>
      <c r="C220" s="1"/>
      <c r="D220" s="1"/>
      <c r="E220" s="1"/>
      <c r="F220" s="1"/>
      <c r="G220" s="1"/>
      <c r="H220" s="1"/>
      <c r="I220" s="1"/>
    </row>
  </sheetData>
  <pageMargins left="0.7" right="0.7" top="0.75" bottom="0.75" header="0.3" footer="0.3"/>
  <pageSetup orientation="portrait" r:id="rId1"/>
  <headerFooter>
    <oddHeader>&amp;R&amp;"Calibri"&amp;12&amp;K000000 Unclassified - Non-Classifié&amp;1#_x000D_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5271D-37EB-4C6C-8E5C-8AF5C1C246A9}">
  <dimension ref="A1:C366"/>
  <sheetViews>
    <sheetView workbookViewId="0">
      <selection activeCell="H16" sqref="H16"/>
    </sheetView>
  </sheetViews>
  <sheetFormatPr defaultRowHeight="14.4" x14ac:dyDescent="0.3"/>
  <cols>
    <col min="3" max="3" width="11.5546875" style="20" customWidth="1"/>
  </cols>
  <sheetData>
    <row r="1" spans="1:3" x14ac:dyDescent="0.3">
      <c r="A1" t="s">
        <v>2</v>
      </c>
      <c r="B1" t="s">
        <v>44</v>
      </c>
      <c r="C1" s="20" t="s">
        <v>45</v>
      </c>
    </row>
    <row r="2" spans="1:3" x14ac:dyDescent="0.3">
      <c r="A2" s="21">
        <v>45658</v>
      </c>
      <c r="B2">
        <v>1</v>
      </c>
      <c r="C2" s="20">
        <v>11</v>
      </c>
    </row>
    <row r="3" spans="1:3" x14ac:dyDescent="0.3">
      <c r="A3" s="21">
        <v>45659</v>
      </c>
      <c r="B3">
        <v>2</v>
      </c>
      <c r="C3" s="20">
        <v>12</v>
      </c>
    </row>
    <row r="4" spans="1:3" x14ac:dyDescent="0.3">
      <c r="A4" s="21">
        <v>45660</v>
      </c>
      <c r="B4">
        <v>3</v>
      </c>
      <c r="C4" s="20">
        <v>12</v>
      </c>
    </row>
    <row r="5" spans="1:3" x14ac:dyDescent="0.3">
      <c r="A5" s="21">
        <v>45661</v>
      </c>
      <c r="B5">
        <v>4</v>
      </c>
      <c r="C5" s="20">
        <v>12</v>
      </c>
    </row>
    <row r="6" spans="1:3" x14ac:dyDescent="0.3">
      <c r="A6" s="21">
        <v>45662</v>
      </c>
      <c r="B6">
        <v>5</v>
      </c>
      <c r="C6" s="20">
        <v>12</v>
      </c>
    </row>
    <row r="7" spans="1:3" x14ac:dyDescent="0.3">
      <c r="A7" s="21">
        <v>45663</v>
      </c>
      <c r="B7">
        <v>6</v>
      </c>
      <c r="C7" s="20">
        <v>12</v>
      </c>
    </row>
    <row r="8" spans="1:3" x14ac:dyDescent="0.3">
      <c r="A8" s="21">
        <v>45664</v>
      </c>
      <c r="B8">
        <v>7</v>
      </c>
      <c r="C8" s="20">
        <v>12</v>
      </c>
    </row>
    <row r="9" spans="1:3" x14ac:dyDescent="0.3">
      <c r="A9" s="21">
        <v>45665</v>
      </c>
      <c r="B9">
        <v>8</v>
      </c>
      <c r="C9" s="20">
        <v>12</v>
      </c>
    </row>
    <row r="10" spans="1:3" x14ac:dyDescent="0.3">
      <c r="A10" s="21">
        <v>45666</v>
      </c>
      <c r="B10">
        <v>9</v>
      </c>
      <c r="C10" s="20">
        <v>13</v>
      </c>
    </row>
    <row r="11" spans="1:3" x14ac:dyDescent="0.3">
      <c r="A11" s="21">
        <v>45667</v>
      </c>
      <c r="B11">
        <v>10</v>
      </c>
      <c r="C11" s="20">
        <v>13</v>
      </c>
    </row>
    <row r="12" spans="1:3" x14ac:dyDescent="0.3">
      <c r="A12" s="21">
        <v>45668</v>
      </c>
      <c r="B12">
        <v>11</v>
      </c>
      <c r="C12" s="20">
        <v>13</v>
      </c>
    </row>
    <row r="13" spans="1:3" x14ac:dyDescent="0.3">
      <c r="A13" s="21">
        <v>45669</v>
      </c>
      <c r="B13">
        <v>12</v>
      </c>
      <c r="C13" s="20">
        <v>13</v>
      </c>
    </row>
    <row r="14" spans="1:3" x14ac:dyDescent="0.3">
      <c r="A14" s="21">
        <v>45670</v>
      </c>
      <c r="B14">
        <v>13</v>
      </c>
      <c r="C14" s="20">
        <v>13</v>
      </c>
    </row>
    <row r="15" spans="1:3" x14ac:dyDescent="0.3">
      <c r="A15" s="21">
        <v>45671</v>
      </c>
      <c r="B15">
        <v>14</v>
      </c>
      <c r="C15" s="20">
        <v>13</v>
      </c>
    </row>
    <row r="16" spans="1:3" x14ac:dyDescent="0.3">
      <c r="A16" s="21">
        <v>45672</v>
      </c>
      <c r="B16">
        <v>15</v>
      </c>
      <c r="C16" s="20">
        <v>13</v>
      </c>
    </row>
    <row r="17" spans="1:3" x14ac:dyDescent="0.3">
      <c r="A17" s="21">
        <v>45673</v>
      </c>
      <c r="B17">
        <v>16</v>
      </c>
      <c r="C17" s="20">
        <v>14</v>
      </c>
    </row>
    <row r="18" spans="1:3" x14ac:dyDescent="0.3">
      <c r="A18" s="21">
        <v>45674</v>
      </c>
      <c r="B18">
        <v>17</v>
      </c>
      <c r="C18" s="20">
        <v>14</v>
      </c>
    </row>
    <row r="19" spans="1:3" x14ac:dyDescent="0.3">
      <c r="A19" s="21">
        <v>45675</v>
      </c>
      <c r="B19">
        <v>18</v>
      </c>
      <c r="C19" s="20">
        <v>14</v>
      </c>
    </row>
    <row r="20" spans="1:3" x14ac:dyDescent="0.3">
      <c r="A20" s="21">
        <v>45676</v>
      </c>
      <c r="B20">
        <v>19</v>
      </c>
      <c r="C20" s="20">
        <v>14</v>
      </c>
    </row>
    <row r="21" spans="1:3" x14ac:dyDescent="0.3">
      <c r="A21" s="21">
        <v>45677</v>
      </c>
      <c r="B21">
        <v>20</v>
      </c>
      <c r="C21" s="20">
        <v>14</v>
      </c>
    </row>
    <row r="22" spans="1:3" x14ac:dyDescent="0.3">
      <c r="A22" s="21">
        <v>45678</v>
      </c>
      <c r="B22">
        <v>21</v>
      </c>
      <c r="C22" s="20">
        <v>14</v>
      </c>
    </row>
    <row r="23" spans="1:3" x14ac:dyDescent="0.3">
      <c r="A23" s="21">
        <v>45679</v>
      </c>
      <c r="B23">
        <v>22</v>
      </c>
      <c r="C23" s="20">
        <v>14</v>
      </c>
    </row>
    <row r="24" spans="1:3" x14ac:dyDescent="0.3">
      <c r="A24" s="21">
        <v>45680</v>
      </c>
      <c r="B24">
        <v>23</v>
      </c>
      <c r="C24" s="20">
        <v>15</v>
      </c>
    </row>
    <row r="25" spans="1:3" x14ac:dyDescent="0.3">
      <c r="A25" s="21">
        <v>45681</v>
      </c>
      <c r="B25">
        <v>24</v>
      </c>
      <c r="C25" s="20">
        <v>15</v>
      </c>
    </row>
    <row r="26" spans="1:3" x14ac:dyDescent="0.3">
      <c r="A26" s="21">
        <v>45682</v>
      </c>
      <c r="B26">
        <v>25</v>
      </c>
      <c r="C26" s="20">
        <v>15</v>
      </c>
    </row>
    <row r="27" spans="1:3" x14ac:dyDescent="0.3">
      <c r="A27" s="21">
        <v>45683</v>
      </c>
      <c r="B27">
        <v>26</v>
      </c>
      <c r="C27" s="20">
        <v>15</v>
      </c>
    </row>
    <row r="28" spans="1:3" x14ac:dyDescent="0.3">
      <c r="A28" s="21">
        <v>45684</v>
      </c>
      <c r="B28">
        <v>27</v>
      </c>
      <c r="C28" s="20">
        <v>15</v>
      </c>
    </row>
    <row r="29" spans="1:3" x14ac:dyDescent="0.3">
      <c r="A29" s="21">
        <v>45685</v>
      </c>
      <c r="B29">
        <v>28</v>
      </c>
      <c r="C29" s="20">
        <v>15</v>
      </c>
    </row>
    <row r="30" spans="1:3" x14ac:dyDescent="0.3">
      <c r="A30" s="21">
        <v>45686</v>
      </c>
      <c r="B30">
        <v>29</v>
      </c>
      <c r="C30" s="20">
        <v>15</v>
      </c>
    </row>
    <row r="31" spans="1:3" x14ac:dyDescent="0.3">
      <c r="A31" s="21">
        <v>45687</v>
      </c>
      <c r="B31">
        <v>30</v>
      </c>
      <c r="C31" s="20">
        <v>21</v>
      </c>
    </row>
    <row r="32" spans="1:3" x14ac:dyDescent="0.3">
      <c r="A32" s="21">
        <v>45688</v>
      </c>
      <c r="B32">
        <v>31</v>
      </c>
      <c r="C32" s="20">
        <v>21</v>
      </c>
    </row>
    <row r="33" spans="1:3" x14ac:dyDescent="0.3">
      <c r="A33" s="21">
        <v>45689</v>
      </c>
      <c r="B33">
        <v>32</v>
      </c>
      <c r="C33" s="20">
        <v>21</v>
      </c>
    </row>
    <row r="34" spans="1:3" x14ac:dyDescent="0.3">
      <c r="A34" s="21">
        <v>45690</v>
      </c>
      <c r="B34">
        <v>33</v>
      </c>
      <c r="C34" s="20">
        <v>21</v>
      </c>
    </row>
    <row r="35" spans="1:3" x14ac:dyDescent="0.3">
      <c r="A35" s="21">
        <v>45691</v>
      </c>
      <c r="B35">
        <v>34</v>
      </c>
      <c r="C35" s="20">
        <v>21</v>
      </c>
    </row>
    <row r="36" spans="1:3" x14ac:dyDescent="0.3">
      <c r="A36" s="21">
        <v>45692</v>
      </c>
      <c r="B36">
        <v>35</v>
      </c>
      <c r="C36" s="20">
        <v>21</v>
      </c>
    </row>
    <row r="37" spans="1:3" x14ac:dyDescent="0.3">
      <c r="A37" s="21">
        <v>45693</v>
      </c>
      <c r="B37">
        <v>36</v>
      </c>
      <c r="C37" s="20">
        <v>21</v>
      </c>
    </row>
    <row r="38" spans="1:3" x14ac:dyDescent="0.3">
      <c r="A38" s="21">
        <v>45694</v>
      </c>
      <c r="B38">
        <v>37</v>
      </c>
      <c r="C38" s="20">
        <v>22</v>
      </c>
    </row>
    <row r="39" spans="1:3" x14ac:dyDescent="0.3">
      <c r="A39" s="21">
        <v>45695</v>
      </c>
      <c r="B39">
        <v>38</v>
      </c>
      <c r="C39" s="20">
        <v>22</v>
      </c>
    </row>
    <row r="40" spans="1:3" x14ac:dyDescent="0.3">
      <c r="A40" s="21">
        <v>45696</v>
      </c>
      <c r="B40">
        <v>39</v>
      </c>
      <c r="C40" s="20">
        <v>22</v>
      </c>
    </row>
    <row r="41" spans="1:3" x14ac:dyDescent="0.3">
      <c r="A41" s="21">
        <v>45697</v>
      </c>
      <c r="B41">
        <v>40</v>
      </c>
      <c r="C41" s="20">
        <v>22</v>
      </c>
    </row>
    <row r="42" spans="1:3" x14ac:dyDescent="0.3">
      <c r="A42" s="21">
        <v>45698</v>
      </c>
      <c r="B42">
        <v>41</v>
      </c>
      <c r="C42" s="20">
        <v>22</v>
      </c>
    </row>
    <row r="43" spans="1:3" x14ac:dyDescent="0.3">
      <c r="A43" s="21">
        <v>45699</v>
      </c>
      <c r="B43">
        <v>42</v>
      </c>
      <c r="C43" s="20">
        <v>22</v>
      </c>
    </row>
    <row r="44" spans="1:3" x14ac:dyDescent="0.3">
      <c r="A44" s="21">
        <v>45700</v>
      </c>
      <c r="B44">
        <v>43</v>
      </c>
      <c r="C44" s="20">
        <v>22</v>
      </c>
    </row>
    <row r="45" spans="1:3" x14ac:dyDescent="0.3">
      <c r="A45" s="21">
        <v>45701</v>
      </c>
      <c r="B45">
        <v>44</v>
      </c>
      <c r="C45" s="20">
        <v>23</v>
      </c>
    </row>
    <row r="46" spans="1:3" x14ac:dyDescent="0.3">
      <c r="A46" s="21">
        <v>45702</v>
      </c>
      <c r="B46">
        <v>45</v>
      </c>
      <c r="C46" s="20">
        <v>23</v>
      </c>
    </row>
    <row r="47" spans="1:3" x14ac:dyDescent="0.3">
      <c r="A47" s="21">
        <v>45703</v>
      </c>
      <c r="B47">
        <v>46</v>
      </c>
      <c r="C47" s="20">
        <v>23</v>
      </c>
    </row>
    <row r="48" spans="1:3" x14ac:dyDescent="0.3">
      <c r="A48" s="21">
        <v>45704</v>
      </c>
      <c r="B48">
        <v>47</v>
      </c>
      <c r="C48" s="20">
        <v>23</v>
      </c>
    </row>
    <row r="49" spans="1:3" x14ac:dyDescent="0.3">
      <c r="A49" s="21">
        <v>45705</v>
      </c>
      <c r="B49">
        <v>48</v>
      </c>
      <c r="C49" s="20">
        <v>23</v>
      </c>
    </row>
    <row r="50" spans="1:3" x14ac:dyDescent="0.3">
      <c r="A50" s="21">
        <v>45706</v>
      </c>
      <c r="B50">
        <v>49</v>
      </c>
      <c r="C50" s="20">
        <v>23</v>
      </c>
    </row>
    <row r="51" spans="1:3" x14ac:dyDescent="0.3">
      <c r="A51" s="21">
        <v>45707</v>
      </c>
      <c r="B51">
        <v>50</v>
      </c>
      <c r="C51" s="20">
        <v>23</v>
      </c>
    </row>
    <row r="52" spans="1:3" x14ac:dyDescent="0.3">
      <c r="A52" s="21">
        <v>45708</v>
      </c>
      <c r="B52">
        <v>51</v>
      </c>
      <c r="C52" s="20">
        <v>24</v>
      </c>
    </row>
    <row r="53" spans="1:3" x14ac:dyDescent="0.3">
      <c r="A53" s="21">
        <v>45709</v>
      </c>
      <c r="B53">
        <v>52</v>
      </c>
      <c r="C53" s="20">
        <v>24</v>
      </c>
    </row>
    <row r="54" spans="1:3" x14ac:dyDescent="0.3">
      <c r="A54" s="21">
        <v>45710</v>
      </c>
      <c r="B54">
        <v>53</v>
      </c>
      <c r="C54" s="20">
        <v>24</v>
      </c>
    </row>
    <row r="55" spans="1:3" x14ac:dyDescent="0.3">
      <c r="A55" s="21">
        <v>45711</v>
      </c>
      <c r="B55">
        <v>54</v>
      </c>
      <c r="C55" s="20">
        <v>24</v>
      </c>
    </row>
    <row r="56" spans="1:3" x14ac:dyDescent="0.3">
      <c r="A56" s="21">
        <v>45712</v>
      </c>
      <c r="B56">
        <v>55</v>
      </c>
      <c r="C56" s="20">
        <v>24</v>
      </c>
    </row>
    <row r="57" spans="1:3" x14ac:dyDescent="0.3">
      <c r="A57" s="21">
        <v>45713</v>
      </c>
      <c r="B57">
        <v>56</v>
      </c>
      <c r="C57" s="20">
        <v>24</v>
      </c>
    </row>
    <row r="58" spans="1:3" x14ac:dyDescent="0.3">
      <c r="A58" s="21">
        <v>45714</v>
      </c>
      <c r="B58">
        <v>57</v>
      </c>
      <c r="C58" s="20">
        <v>24</v>
      </c>
    </row>
    <row r="59" spans="1:3" x14ac:dyDescent="0.3">
      <c r="A59" s="21">
        <v>45715</v>
      </c>
      <c r="B59">
        <v>58</v>
      </c>
      <c r="C59" s="20">
        <v>31</v>
      </c>
    </row>
    <row r="60" spans="1:3" x14ac:dyDescent="0.3">
      <c r="A60" s="21">
        <v>45716</v>
      </c>
      <c r="B60">
        <v>59</v>
      </c>
      <c r="C60" s="20">
        <v>31</v>
      </c>
    </row>
    <row r="61" spans="1:3" x14ac:dyDescent="0.3">
      <c r="A61" s="21">
        <v>45717</v>
      </c>
      <c r="B61">
        <v>60</v>
      </c>
      <c r="C61" s="20">
        <v>31</v>
      </c>
    </row>
    <row r="62" spans="1:3" x14ac:dyDescent="0.3">
      <c r="A62" s="21">
        <v>45718</v>
      </c>
      <c r="B62">
        <v>61</v>
      </c>
      <c r="C62" s="20">
        <v>31</v>
      </c>
    </row>
    <row r="63" spans="1:3" x14ac:dyDescent="0.3">
      <c r="A63" s="21">
        <v>45719</v>
      </c>
      <c r="B63">
        <v>62</v>
      </c>
      <c r="C63" s="20">
        <v>31</v>
      </c>
    </row>
    <row r="64" spans="1:3" x14ac:dyDescent="0.3">
      <c r="A64" s="21">
        <v>45720</v>
      </c>
      <c r="B64">
        <v>63</v>
      </c>
      <c r="C64" s="20">
        <v>31</v>
      </c>
    </row>
    <row r="65" spans="1:3" x14ac:dyDescent="0.3">
      <c r="A65" s="21">
        <v>45721</v>
      </c>
      <c r="B65">
        <v>64</v>
      </c>
      <c r="C65" s="20">
        <v>31</v>
      </c>
    </row>
    <row r="66" spans="1:3" x14ac:dyDescent="0.3">
      <c r="A66" s="21">
        <v>45722</v>
      </c>
      <c r="B66">
        <v>65</v>
      </c>
      <c r="C66" s="20">
        <v>32</v>
      </c>
    </row>
    <row r="67" spans="1:3" x14ac:dyDescent="0.3">
      <c r="A67" s="21">
        <v>45723</v>
      </c>
      <c r="B67">
        <v>66</v>
      </c>
      <c r="C67" s="20">
        <v>32</v>
      </c>
    </row>
    <row r="68" spans="1:3" x14ac:dyDescent="0.3">
      <c r="A68" s="21">
        <v>45724</v>
      </c>
      <c r="B68">
        <v>67</v>
      </c>
      <c r="C68" s="20">
        <v>32</v>
      </c>
    </row>
    <row r="69" spans="1:3" x14ac:dyDescent="0.3">
      <c r="A69" s="21">
        <v>45725</v>
      </c>
      <c r="B69">
        <v>68</v>
      </c>
      <c r="C69" s="20">
        <v>32</v>
      </c>
    </row>
    <row r="70" spans="1:3" x14ac:dyDescent="0.3">
      <c r="A70" s="21">
        <v>45726</v>
      </c>
      <c r="B70">
        <v>69</v>
      </c>
      <c r="C70" s="20">
        <v>32</v>
      </c>
    </row>
    <row r="71" spans="1:3" x14ac:dyDescent="0.3">
      <c r="A71" s="21">
        <v>45727</v>
      </c>
      <c r="B71">
        <v>70</v>
      </c>
      <c r="C71" s="20">
        <v>32</v>
      </c>
    </row>
    <row r="72" spans="1:3" x14ac:dyDescent="0.3">
      <c r="A72" s="21">
        <v>45728</v>
      </c>
      <c r="B72">
        <v>71</v>
      </c>
      <c r="C72" s="20">
        <v>32</v>
      </c>
    </row>
    <row r="73" spans="1:3" x14ac:dyDescent="0.3">
      <c r="A73" s="21">
        <v>45729</v>
      </c>
      <c r="B73">
        <v>72</v>
      </c>
      <c r="C73" s="20">
        <v>33</v>
      </c>
    </row>
    <row r="74" spans="1:3" x14ac:dyDescent="0.3">
      <c r="A74" s="21">
        <v>45730</v>
      </c>
      <c r="B74">
        <v>73</v>
      </c>
      <c r="C74" s="20">
        <v>33</v>
      </c>
    </row>
    <row r="75" spans="1:3" x14ac:dyDescent="0.3">
      <c r="A75" s="21">
        <v>45731</v>
      </c>
      <c r="B75">
        <v>74</v>
      </c>
      <c r="C75" s="20">
        <v>33</v>
      </c>
    </row>
    <row r="76" spans="1:3" x14ac:dyDescent="0.3">
      <c r="A76" s="21">
        <v>45732</v>
      </c>
      <c r="B76">
        <v>75</v>
      </c>
      <c r="C76" s="20">
        <v>33</v>
      </c>
    </row>
    <row r="77" spans="1:3" x14ac:dyDescent="0.3">
      <c r="A77" s="21">
        <v>45733</v>
      </c>
      <c r="B77">
        <v>76</v>
      </c>
      <c r="C77" s="20">
        <v>33</v>
      </c>
    </row>
    <row r="78" spans="1:3" x14ac:dyDescent="0.3">
      <c r="A78" s="21">
        <v>45734</v>
      </c>
      <c r="B78">
        <v>77</v>
      </c>
      <c r="C78" s="20">
        <v>33</v>
      </c>
    </row>
    <row r="79" spans="1:3" x14ac:dyDescent="0.3">
      <c r="A79" s="21">
        <v>45735</v>
      </c>
      <c r="B79">
        <v>78</v>
      </c>
      <c r="C79" s="20">
        <v>33</v>
      </c>
    </row>
    <row r="80" spans="1:3" x14ac:dyDescent="0.3">
      <c r="A80" s="21">
        <v>45736</v>
      </c>
      <c r="B80">
        <v>79</v>
      </c>
      <c r="C80" s="20">
        <v>34</v>
      </c>
    </row>
    <row r="81" spans="1:3" x14ac:dyDescent="0.3">
      <c r="A81" s="21">
        <v>45737</v>
      </c>
      <c r="B81">
        <v>80</v>
      </c>
      <c r="C81" s="20">
        <v>34</v>
      </c>
    </row>
    <row r="82" spans="1:3" x14ac:dyDescent="0.3">
      <c r="A82" s="21">
        <v>45738</v>
      </c>
      <c r="B82">
        <v>81</v>
      </c>
      <c r="C82" s="20">
        <v>34</v>
      </c>
    </row>
    <row r="83" spans="1:3" x14ac:dyDescent="0.3">
      <c r="A83" s="21">
        <v>45739</v>
      </c>
      <c r="B83">
        <v>82</v>
      </c>
      <c r="C83" s="20">
        <v>34</v>
      </c>
    </row>
    <row r="84" spans="1:3" x14ac:dyDescent="0.3">
      <c r="A84" s="21">
        <v>45740</v>
      </c>
      <c r="B84">
        <v>83</v>
      </c>
      <c r="C84" s="20">
        <v>34</v>
      </c>
    </row>
    <row r="85" spans="1:3" x14ac:dyDescent="0.3">
      <c r="A85" s="21">
        <v>45741</v>
      </c>
      <c r="B85">
        <v>84</v>
      </c>
      <c r="C85" s="20">
        <v>34</v>
      </c>
    </row>
    <row r="86" spans="1:3" x14ac:dyDescent="0.3">
      <c r="A86" s="21">
        <v>45742</v>
      </c>
      <c r="B86">
        <v>85</v>
      </c>
      <c r="C86" s="20">
        <v>34</v>
      </c>
    </row>
    <row r="87" spans="1:3" x14ac:dyDescent="0.3">
      <c r="A87" s="21">
        <v>45743</v>
      </c>
      <c r="B87">
        <v>86</v>
      </c>
      <c r="C87" s="20">
        <v>41</v>
      </c>
    </row>
    <row r="88" spans="1:3" x14ac:dyDescent="0.3">
      <c r="A88" s="21">
        <v>45744</v>
      </c>
      <c r="B88">
        <v>87</v>
      </c>
      <c r="C88" s="20">
        <v>41</v>
      </c>
    </row>
    <row r="89" spans="1:3" x14ac:dyDescent="0.3">
      <c r="A89" s="21">
        <v>45745</v>
      </c>
      <c r="B89">
        <v>88</v>
      </c>
      <c r="C89" s="20">
        <v>41</v>
      </c>
    </row>
    <row r="90" spans="1:3" x14ac:dyDescent="0.3">
      <c r="A90" s="21">
        <v>45746</v>
      </c>
      <c r="B90">
        <v>89</v>
      </c>
      <c r="C90" s="20">
        <v>41</v>
      </c>
    </row>
    <row r="91" spans="1:3" x14ac:dyDescent="0.3">
      <c r="A91" s="21">
        <v>45747</v>
      </c>
      <c r="B91">
        <v>90</v>
      </c>
      <c r="C91" s="20">
        <v>41</v>
      </c>
    </row>
    <row r="92" spans="1:3" x14ac:dyDescent="0.3">
      <c r="A92" s="21">
        <v>45748</v>
      </c>
      <c r="B92">
        <v>91</v>
      </c>
      <c r="C92" s="20">
        <v>41</v>
      </c>
    </row>
    <row r="93" spans="1:3" x14ac:dyDescent="0.3">
      <c r="A93" s="21">
        <v>45749</v>
      </c>
      <c r="B93">
        <v>92</v>
      </c>
      <c r="C93" s="20">
        <v>41</v>
      </c>
    </row>
    <row r="94" spans="1:3" x14ac:dyDescent="0.3">
      <c r="A94" s="21">
        <v>45750</v>
      </c>
      <c r="B94">
        <v>93</v>
      </c>
      <c r="C94" s="20">
        <v>42</v>
      </c>
    </row>
    <row r="95" spans="1:3" x14ac:dyDescent="0.3">
      <c r="A95" s="21">
        <v>45751</v>
      </c>
      <c r="B95">
        <v>94</v>
      </c>
      <c r="C95" s="20">
        <v>42</v>
      </c>
    </row>
    <row r="96" spans="1:3" x14ac:dyDescent="0.3">
      <c r="A96" s="21">
        <v>45752</v>
      </c>
      <c r="B96">
        <v>95</v>
      </c>
      <c r="C96" s="20">
        <v>42</v>
      </c>
    </row>
    <row r="97" spans="1:3" x14ac:dyDescent="0.3">
      <c r="A97" s="21">
        <v>45753</v>
      </c>
      <c r="B97">
        <v>96</v>
      </c>
      <c r="C97" s="20">
        <v>42</v>
      </c>
    </row>
    <row r="98" spans="1:3" x14ac:dyDescent="0.3">
      <c r="A98" s="21">
        <v>45754</v>
      </c>
      <c r="B98">
        <v>97</v>
      </c>
      <c r="C98" s="20">
        <v>42</v>
      </c>
    </row>
    <row r="99" spans="1:3" x14ac:dyDescent="0.3">
      <c r="A99" s="21">
        <v>45755</v>
      </c>
      <c r="B99">
        <v>98</v>
      </c>
      <c r="C99" s="20">
        <v>42</v>
      </c>
    </row>
    <row r="100" spans="1:3" x14ac:dyDescent="0.3">
      <c r="A100" s="21">
        <v>45756</v>
      </c>
      <c r="B100">
        <v>99</v>
      </c>
      <c r="C100" s="20">
        <v>42</v>
      </c>
    </row>
    <row r="101" spans="1:3" x14ac:dyDescent="0.3">
      <c r="A101" s="21">
        <v>45757</v>
      </c>
      <c r="B101">
        <v>100</v>
      </c>
      <c r="C101" s="20">
        <v>43</v>
      </c>
    </row>
    <row r="102" spans="1:3" x14ac:dyDescent="0.3">
      <c r="A102" s="21">
        <v>45758</v>
      </c>
      <c r="B102">
        <v>101</v>
      </c>
      <c r="C102" s="20">
        <v>43</v>
      </c>
    </row>
    <row r="103" spans="1:3" x14ac:dyDescent="0.3">
      <c r="A103" s="21">
        <v>45759</v>
      </c>
      <c r="B103">
        <v>102</v>
      </c>
      <c r="C103" s="20">
        <v>43</v>
      </c>
    </row>
    <row r="104" spans="1:3" x14ac:dyDescent="0.3">
      <c r="A104" s="21">
        <v>45760</v>
      </c>
      <c r="B104">
        <v>103</v>
      </c>
      <c r="C104" s="20">
        <v>43</v>
      </c>
    </row>
    <row r="105" spans="1:3" x14ac:dyDescent="0.3">
      <c r="A105" s="21">
        <v>45761</v>
      </c>
      <c r="B105">
        <v>104</v>
      </c>
      <c r="C105" s="20">
        <v>43</v>
      </c>
    </row>
    <row r="106" spans="1:3" x14ac:dyDescent="0.3">
      <c r="A106" s="21">
        <v>45762</v>
      </c>
      <c r="B106">
        <v>105</v>
      </c>
      <c r="C106" s="20">
        <v>43</v>
      </c>
    </row>
    <row r="107" spans="1:3" x14ac:dyDescent="0.3">
      <c r="A107" s="21">
        <v>45763</v>
      </c>
      <c r="B107">
        <v>106</v>
      </c>
      <c r="C107" s="20">
        <v>43</v>
      </c>
    </row>
    <row r="108" spans="1:3" x14ac:dyDescent="0.3">
      <c r="A108" s="21">
        <v>45764</v>
      </c>
      <c r="B108">
        <v>107</v>
      </c>
      <c r="C108" s="20">
        <v>44</v>
      </c>
    </row>
    <row r="109" spans="1:3" x14ac:dyDescent="0.3">
      <c r="A109" s="21">
        <v>45765</v>
      </c>
      <c r="B109">
        <v>108</v>
      </c>
      <c r="C109" s="20">
        <v>44</v>
      </c>
    </row>
    <row r="110" spans="1:3" x14ac:dyDescent="0.3">
      <c r="A110" s="21">
        <v>45766</v>
      </c>
      <c r="B110">
        <v>109</v>
      </c>
      <c r="C110" s="20">
        <v>44</v>
      </c>
    </row>
    <row r="111" spans="1:3" x14ac:dyDescent="0.3">
      <c r="A111" s="21">
        <v>45767</v>
      </c>
      <c r="B111">
        <v>110</v>
      </c>
      <c r="C111" s="20">
        <v>44</v>
      </c>
    </row>
    <row r="112" spans="1:3" x14ac:dyDescent="0.3">
      <c r="A112" s="21">
        <v>45768</v>
      </c>
      <c r="B112">
        <v>111</v>
      </c>
      <c r="C112" s="20">
        <v>44</v>
      </c>
    </row>
    <row r="113" spans="1:3" x14ac:dyDescent="0.3">
      <c r="A113" s="21">
        <v>45769</v>
      </c>
      <c r="B113">
        <v>112</v>
      </c>
      <c r="C113" s="20">
        <v>44</v>
      </c>
    </row>
    <row r="114" spans="1:3" x14ac:dyDescent="0.3">
      <c r="A114" s="21">
        <v>45770</v>
      </c>
      <c r="B114">
        <v>113</v>
      </c>
      <c r="C114" s="20">
        <v>44</v>
      </c>
    </row>
    <row r="115" spans="1:3" x14ac:dyDescent="0.3">
      <c r="A115" s="21">
        <v>45771</v>
      </c>
      <c r="B115">
        <v>114</v>
      </c>
      <c r="C115" s="20">
        <v>45</v>
      </c>
    </row>
    <row r="116" spans="1:3" x14ac:dyDescent="0.3">
      <c r="A116" s="21">
        <v>45772</v>
      </c>
      <c r="B116">
        <v>115</v>
      </c>
      <c r="C116" s="20">
        <v>45</v>
      </c>
    </row>
    <row r="117" spans="1:3" x14ac:dyDescent="0.3">
      <c r="A117" s="21">
        <v>45773</v>
      </c>
      <c r="B117">
        <v>116</v>
      </c>
      <c r="C117" s="20">
        <v>45</v>
      </c>
    </row>
    <row r="118" spans="1:3" x14ac:dyDescent="0.3">
      <c r="A118" s="21">
        <v>45774</v>
      </c>
      <c r="B118">
        <v>117</v>
      </c>
      <c r="C118" s="20">
        <v>45</v>
      </c>
    </row>
    <row r="119" spans="1:3" x14ac:dyDescent="0.3">
      <c r="A119" s="21">
        <v>45775</v>
      </c>
      <c r="B119">
        <v>118</v>
      </c>
      <c r="C119" s="20">
        <v>45</v>
      </c>
    </row>
    <row r="120" spans="1:3" x14ac:dyDescent="0.3">
      <c r="A120" s="21">
        <v>45776</v>
      </c>
      <c r="B120">
        <v>119</v>
      </c>
      <c r="C120" s="20">
        <v>45</v>
      </c>
    </row>
    <row r="121" spans="1:3" x14ac:dyDescent="0.3">
      <c r="A121" s="21">
        <v>45777</v>
      </c>
      <c r="B121">
        <v>120</v>
      </c>
      <c r="C121" s="20">
        <v>45</v>
      </c>
    </row>
    <row r="122" spans="1:3" x14ac:dyDescent="0.3">
      <c r="A122" s="21">
        <v>45778</v>
      </c>
      <c r="B122">
        <v>121</v>
      </c>
      <c r="C122" s="20">
        <v>51</v>
      </c>
    </row>
    <row r="123" spans="1:3" x14ac:dyDescent="0.3">
      <c r="A123" s="21">
        <v>45779</v>
      </c>
      <c r="B123">
        <v>122</v>
      </c>
      <c r="C123" s="20">
        <v>51</v>
      </c>
    </row>
    <row r="124" spans="1:3" x14ac:dyDescent="0.3">
      <c r="A124" s="21">
        <v>45780</v>
      </c>
      <c r="B124">
        <v>123</v>
      </c>
      <c r="C124" s="20">
        <v>51</v>
      </c>
    </row>
    <row r="125" spans="1:3" x14ac:dyDescent="0.3">
      <c r="A125" s="21">
        <v>45781</v>
      </c>
      <c r="B125">
        <v>124</v>
      </c>
      <c r="C125" s="20">
        <v>51</v>
      </c>
    </row>
    <row r="126" spans="1:3" x14ac:dyDescent="0.3">
      <c r="A126" s="21">
        <v>45782</v>
      </c>
      <c r="B126">
        <v>125</v>
      </c>
      <c r="C126" s="20">
        <v>51</v>
      </c>
    </row>
    <row r="127" spans="1:3" x14ac:dyDescent="0.3">
      <c r="A127" s="21">
        <v>45783</v>
      </c>
      <c r="B127">
        <v>126</v>
      </c>
      <c r="C127" s="20">
        <v>51</v>
      </c>
    </row>
    <row r="128" spans="1:3" x14ac:dyDescent="0.3">
      <c r="A128" s="21">
        <v>45784</v>
      </c>
      <c r="B128">
        <v>127</v>
      </c>
      <c r="C128" s="20">
        <v>51</v>
      </c>
    </row>
    <row r="129" spans="1:3" x14ac:dyDescent="0.3">
      <c r="A129" s="21">
        <v>45785</v>
      </c>
      <c r="B129">
        <v>128</v>
      </c>
      <c r="C129" s="20">
        <v>52</v>
      </c>
    </row>
    <row r="130" spans="1:3" x14ac:dyDescent="0.3">
      <c r="A130" s="21">
        <v>45786</v>
      </c>
      <c r="B130">
        <v>129</v>
      </c>
      <c r="C130" s="20">
        <v>52</v>
      </c>
    </row>
    <row r="131" spans="1:3" x14ac:dyDescent="0.3">
      <c r="A131" s="21">
        <v>45787</v>
      </c>
      <c r="B131">
        <v>130</v>
      </c>
      <c r="C131" s="20">
        <v>52</v>
      </c>
    </row>
    <row r="132" spans="1:3" x14ac:dyDescent="0.3">
      <c r="A132" s="21">
        <v>45788</v>
      </c>
      <c r="B132">
        <v>131</v>
      </c>
      <c r="C132" s="20">
        <v>52</v>
      </c>
    </row>
    <row r="133" spans="1:3" x14ac:dyDescent="0.3">
      <c r="A133" s="21">
        <v>45789</v>
      </c>
      <c r="B133">
        <v>132</v>
      </c>
      <c r="C133" s="20">
        <v>52</v>
      </c>
    </row>
    <row r="134" spans="1:3" x14ac:dyDescent="0.3">
      <c r="A134" s="21">
        <v>45790</v>
      </c>
      <c r="B134">
        <v>133</v>
      </c>
      <c r="C134" s="20">
        <v>52</v>
      </c>
    </row>
    <row r="135" spans="1:3" x14ac:dyDescent="0.3">
      <c r="A135" s="21">
        <v>45791</v>
      </c>
      <c r="B135">
        <v>134</v>
      </c>
      <c r="C135" s="20">
        <v>52</v>
      </c>
    </row>
    <row r="136" spans="1:3" x14ac:dyDescent="0.3">
      <c r="A136" s="21">
        <v>45792</v>
      </c>
      <c r="B136">
        <v>135</v>
      </c>
      <c r="C136" s="20">
        <v>53</v>
      </c>
    </row>
    <row r="137" spans="1:3" x14ac:dyDescent="0.3">
      <c r="A137" s="21">
        <v>45793</v>
      </c>
      <c r="B137">
        <v>136</v>
      </c>
      <c r="C137" s="20">
        <v>53</v>
      </c>
    </row>
    <row r="138" spans="1:3" x14ac:dyDescent="0.3">
      <c r="A138" s="21">
        <v>45794</v>
      </c>
      <c r="B138">
        <v>137</v>
      </c>
      <c r="C138" s="20">
        <v>53</v>
      </c>
    </row>
    <row r="139" spans="1:3" x14ac:dyDescent="0.3">
      <c r="A139" s="21">
        <v>45795</v>
      </c>
      <c r="B139">
        <v>138</v>
      </c>
      <c r="C139" s="20">
        <v>53</v>
      </c>
    </row>
    <row r="140" spans="1:3" x14ac:dyDescent="0.3">
      <c r="A140" s="21">
        <v>45796</v>
      </c>
      <c r="B140">
        <v>139</v>
      </c>
      <c r="C140" s="20">
        <v>53</v>
      </c>
    </row>
    <row r="141" spans="1:3" x14ac:dyDescent="0.3">
      <c r="A141" s="21">
        <v>45797</v>
      </c>
      <c r="B141">
        <v>140</v>
      </c>
      <c r="C141" s="20">
        <v>53</v>
      </c>
    </row>
    <row r="142" spans="1:3" x14ac:dyDescent="0.3">
      <c r="A142" s="21">
        <v>45798</v>
      </c>
      <c r="B142">
        <v>141</v>
      </c>
      <c r="C142" s="20">
        <v>53</v>
      </c>
    </row>
    <row r="143" spans="1:3" x14ac:dyDescent="0.3">
      <c r="A143" s="21">
        <v>45799</v>
      </c>
      <c r="B143">
        <v>142</v>
      </c>
      <c r="C143" s="20">
        <v>54</v>
      </c>
    </row>
    <row r="144" spans="1:3" x14ac:dyDescent="0.3">
      <c r="A144" s="21">
        <v>45800</v>
      </c>
      <c r="B144">
        <v>143</v>
      </c>
      <c r="C144" s="20">
        <v>54</v>
      </c>
    </row>
    <row r="145" spans="1:3" x14ac:dyDescent="0.3">
      <c r="A145" s="21">
        <v>45801</v>
      </c>
      <c r="B145">
        <v>144</v>
      </c>
      <c r="C145" s="20">
        <v>54</v>
      </c>
    </row>
    <row r="146" spans="1:3" x14ac:dyDescent="0.3">
      <c r="A146" s="21">
        <v>45802</v>
      </c>
      <c r="B146">
        <v>145</v>
      </c>
      <c r="C146" s="20">
        <v>54</v>
      </c>
    </row>
    <row r="147" spans="1:3" x14ac:dyDescent="0.3">
      <c r="A147" s="21">
        <v>45803</v>
      </c>
      <c r="B147">
        <v>146</v>
      </c>
      <c r="C147" s="20">
        <v>54</v>
      </c>
    </row>
    <row r="148" spans="1:3" x14ac:dyDescent="0.3">
      <c r="A148" s="21">
        <v>45804</v>
      </c>
      <c r="B148">
        <v>147</v>
      </c>
      <c r="C148" s="20">
        <v>54</v>
      </c>
    </row>
    <row r="149" spans="1:3" x14ac:dyDescent="0.3">
      <c r="A149" s="21">
        <v>45805</v>
      </c>
      <c r="B149">
        <v>148</v>
      </c>
      <c r="C149" s="20">
        <v>54</v>
      </c>
    </row>
    <row r="150" spans="1:3" x14ac:dyDescent="0.3">
      <c r="A150" s="21">
        <v>45806</v>
      </c>
      <c r="B150">
        <v>149</v>
      </c>
      <c r="C150" s="20">
        <v>61</v>
      </c>
    </row>
    <row r="151" spans="1:3" x14ac:dyDescent="0.3">
      <c r="A151" s="21">
        <v>45807</v>
      </c>
      <c r="B151">
        <v>150</v>
      </c>
      <c r="C151" s="20">
        <v>61</v>
      </c>
    </row>
    <row r="152" spans="1:3" x14ac:dyDescent="0.3">
      <c r="A152" s="21">
        <v>45808</v>
      </c>
      <c r="B152">
        <v>151</v>
      </c>
      <c r="C152" s="20">
        <v>61</v>
      </c>
    </row>
    <row r="153" spans="1:3" x14ac:dyDescent="0.3">
      <c r="A153" s="21">
        <v>45809</v>
      </c>
      <c r="B153">
        <v>152</v>
      </c>
      <c r="C153" s="20">
        <v>61</v>
      </c>
    </row>
    <row r="154" spans="1:3" x14ac:dyDescent="0.3">
      <c r="A154" s="21">
        <v>45810</v>
      </c>
      <c r="B154">
        <v>153</v>
      </c>
      <c r="C154" s="20">
        <v>61</v>
      </c>
    </row>
    <row r="155" spans="1:3" x14ac:dyDescent="0.3">
      <c r="A155" s="21">
        <v>45811</v>
      </c>
      <c r="B155">
        <v>154</v>
      </c>
      <c r="C155" s="20">
        <v>61</v>
      </c>
    </row>
    <row r="156" spans="1:3" x14ac:dyDescent="0.3">
      <c r="A156" s="21">
        <v>45812</v>
      </c>
      <c r="B156">
        <v>155</v>
      </c>
      <c r="C156" s="20">
        <v>61</v>
      </c>
    </row>
    <row r="157" spans="1:3" x14ac:dyDescent="0.3">
      <c r="A157" s="21">
        <v>45813</v>
      </c>
      <c r="B157">
        <v>156</v>
      </c>
      <c r="C157" s="20">
        <v>62</v>
      </c>
    </row>
    <row r="158" spans="1:3" x14ac:dyDescent="0.3">
      <c r="A158" s="21">
        <v>45814</v>
      </c>
      <c r="B158">
        <v>157</v>
      </c>
      <c r="C158" s="20">
        <v>62</v>
      </c>
    </row>
    <row r="159" spans="1:3" x14ac:dyDescent="0.3">
      <c r="A159" s="21">
        <v>45815</v>
      </c>
      <c r="B159">
        <v>158</v>
      </c>
      <c r="C159" s="20">
        <v>62</v>
      </c>
    </row>
    <row r="160" spans="1:3" x14ac:dyDescent="0.3">
      <c r="A160" s="21">
        <v>45816</v>
      </c>
      <c r="B160">
        <v>159</v>
      </c>
      <c r="C160" s="20">
        <v>62</v>
      </c>
    </row>
    <row r="161" spans="1:3" x14ac:dyDescent="0.3">
      <c r="A161" s="21">
        <v>45817</v>
      </c>
      <c r="B161">
        <v>160</v>
      </c>
      <c r="C161" s="20">
        <v>62</v>
      </c>
    </row>
    <row r="162" spans="1:3" x14ac:dyDescent="0.3">
      <c r="A162" s="21">
        <v>45818</v>
      </c>
      <c r="B162">
        <v>161</v>
      </c>
      <c r="C162" s="20">
        <v>62</v>
      </c>
    </row>
    <row r="163" spans="1:3" x14ac:dyDescent="0.3">
      <c r="A163" s="21">
        <v>45819</v>
      </c>
      <c r="B163">
        <v>162</v>
      </c>
      <c r="C163" s="20">
        <v>62</v>
      </c>
    </row>
    <row r="164" spans="1:3" x14ac:dyDescent="0.3">
      <c r="A164" s="21">
        <v>45820</v>
      </c>
      <c r="B164">
        <v>163</v>
      </c>
      <c r="C164" s="20">
        <v>63</v>
      </c>
    </row>
    <row r="165" spans="1:3" x14ac:dyDescent="0.3">
      <c r="A165" s="21">
        <v>45821</v>
      </c>
      <c r="B165">
        <v>164</v>
      </c>
      <c r="C165" s="20">
        <v>63</v>
      </c>
    </row>
    <row r="166" spans="1:3" x14ac:dyDescent="0.3">
      <c r="A166" s="21">
        <v>45822</v>
      </c>
      <c r="B166">
        <v>165</v>
      </c>
      <c r="C166" s="20">
        <v>63</v>
      </c>
    </row>
    <row r="167" spans="1:3" x14ac:dyDescent="0.3">
      <c r="A167" s="21">
        <v>45823</v>
      </c>
      <c r="B167">
        <v>166</v>
      </c>
      <c r="C167" s="20">
        <v>63</v>
      </c>
    </row>
    <row r="168" spans="1:3" x14ac:dyDescent="0.3">
      <c r="A168" s="21">
        <v>45824</v>
      </c>
      <c r="B168">
        <v>167</v>
      </c>
      <c r="C168" s="20">
        <v>63</v>
      </c>
    </row>
    <row r="169" spans="1:3" x14ac:dyDescent="0.3">
      <c r="A169" s="21">
        <v>45825</v>
      </c>
      <c r="B169">
        <v>168</v>
      </c>
      <c r="C169" s="20">
        <v>63</v>
      </c>
    </row>
    <row r="170" spans="1:3" x14ac:dyDescent="0.3">
      <c r="A170" s="21">
        <v>45826</v>
      </c>
      <c r="B170">
        <v>169</v>
      </c>
      <c r="C170" s="20">
        <v>63</v>
      </c>
    </row>
    <row r="171" spans="1:3" x14ac:dyDescent="0.3">
      <c r="A171" s="21">
        <v>45827</v>
      </c>
      <c r="B171">
        <v>170</v>
      </c>
      <c r="C171" s="20">
        <v>64</v>
      </c>
    </row>
    <row r="172" spans="1:3" x14ac:dyDescent="0.3">
      <c r="A172" s="21">
        <v>45828</v>
      </c>
      <c r="B172">
        <v>171</v>
      </c>
      <c r="C172" s="20">
        <v>64</v>
      </c>
    </row>
    <row r="173" spans="1:3" x14ac:dyDescent="0.3">
      <c r="A173" s="21">
        <v>45829</v>
      </c>
      <c r="B173">
        <v>172</v>
      </c>
      <c r="C173" s="20">
        <v>64</v>
      </c>
    </row>
    <row r="174" spans="1:3" x14ac:dyDescent="0.3">
      <c r="A174" s="21">
        <v>45830</v>
      </c>
      <c r="B174">
        <v>173</v>
      </c>
      <c r="C174" s="20">
        <v>64</v>
      </c>
    </row>
    <row r="175" spans="1:3" x14ac:dyDescent="0.3">
      <c r="A175" s="21">
        <v>45831</v>
      </c>
      <c r="B175">
        <v>174</v>
      </c>
      <c r="C175" s="20">
        <v>64</v>
      </c>
    </row>
    <row r="176" spans="1:3" x14ac:dyDescent="0.3">
      <c r="A176" s="21">
        <v>45832</v>
      </c>
      <c r="B176">
        <v>175</v>
      </c>
      <c r="C176" s="20">
        <v>64</v>
      </c>
    </row>
    <row r="177" spans="1:3" x14ac:dyDescent="0.3">
      <c r="A177" s="21">
        <v>45833</v>
      </c>
      <c r="B177">
        <v>176</v>
      </c>
      <c r="C177" s="20">
        <v>64</v>
      </c>
    </row>
    <row r="178" spans="1:3" x14ac:dyDescent="0.3">
      <c r="A178" s="21">
        <v>45834</v>
      </c>
      <c r="B178">
        <v>177</v>
      </c>
      <c r="C178" s="20">
        <v>71</v>
      </c>
    </row>
    <row r="179" spans="1:3" x14ac:dyDescent="0.3">
      <c r="A179" s="21">
        <v>45835</v>
      </c>
      <c r="B179">
        <v>178</v>
      </c>
      <c r="C179" s="20">
        <v>71</v>
      </c>
    </row>
    <row r="180" spans="1:3" x14ac:dyDescent="0.3">
      <c r="A180" s="21">
        <v>45836</v>
      </c>
      <c r="B180">
        <v>179</v>
      </c>
      <c r="C180" s="20">
        <v>71</v>
      </c>
    </row>
    <row r="181" spans="1:3" x14ac:dyDescent="0.3">
      <c r="A181" s="21">
        <v>45837</v>
      </c>
      <c r="B181">
        <v>180</v>
      </c>
      <c r="C181" s="20">
        <v>71</v>
      </c>
    </row>
    <row r="182" spans="1:3" x14ac:dyDescent="0.3">
      <c r="A182" s="21">
        <v>45838</v>
      </c>
      <c r="B182">
        <v>181</v>
      </c>
      <c r="C182" s="20">
        <v>71</v>
      </c>
    </row>
    <row r="183" spans="1:3" x14ac:dyDescent="0.3">
      <c r="A183" s="21">
        <v>45839</v>
      </c>
      <c r="B183">
        <v>182</v>
      </c>
      <c r="C183" s="20">
        <v>71</v>
      </c>
    </row>
    <row r="184" spans="1:3" x14ac:dyDescent="0.3">
      <c r="A184" s="21">
        <v>45840</v>
      </c>
      <c r="B184">
        <v>183</v>
      </c>
      <c r="C184" s="20">
        <v>71</v>
      </c>
    </row>
    <row r="185" spans="1:3" x14ac:dyDescent="0.3">
      <c r="A185" s="21">
        <v>45841</v>
      </c>
      <c r="B185">
        <v>184</v>
      </c>
      <c r="C185" s="20">
        <v>72</v>
      </c>
    </row>
    <row r="186" spans="1:3" x14ac:dyDescent="0.3">
      <c r="A186" s="21">
        <v>45842</v>
      </c>
      <c r="B186">
        <v>185</v>
      </c>
      <c r="C186" s="20">
        <v>72</v>
      </c>
    </row>
    <row r="187" spans="1:3" x14ac:dyDescent="0.3">
      <c r="A187" s="21">
        <v>45843</v>
      </c>
      <c r="B187">
        <v>186</v>
      </c>
      <c r="C187" s="20">
        <v>72</v>
      </c>
    </row>
    <row r="188" spans="1:3" x14ac:dyDescent="0.3">
      <c r="A188" s="21">
        <v>45844</v>
      </c>
      <c r="B188">
        <v>187</v>
      </c>
      <c r="C188" s="20">
        <v>72</v>
      </c>
    </row>
    <row r="189" spans="1:3" x14ac:dyDescent="0.3">
      <c r="A189" s="21">
        <v>45845</v>
      </c>
      <c r="B189">
        <v>188</v>
      </c>
      <c r="C189" s="20">
        <v>72</v>
      </c>
    </row>
    <row r="190" spans="1:3" x14ac:dyDescent="0.3">
      <c r="A190" s="21">
        <v>45846</v>
      </c>
      <c r="B190">
        <v>189</v>
      </c>
      <c r="C190" s="20">
        <v>72</v>
      </c>
    </row>
    <row r="191" spans="1:3" x14ac:dyDescent="0.3">
      <c r="A191" s="21">
        <v>45847</v>
      </c>
      <c r="B191">
        <v>190</v>
      </c>
      <c r="C191" s="20">
        <v>72</v>
      </c>
    </row>
    <row r="192" spans="1:3" x14ac:dyDescent="0.3">
      <c r="A192" s="21">
        <v>45848</v>
      </c>
      <c r="B192">
        <v>191</v>
      </c>
      <c r="C192" s="20">
        <v>73</v>
      </c>
    </row>
    <row r="193" spans="1:3" x14ac:dyDescent="0.3">
      <c r="A193" s="21">
        <v>45849</v>
      </c>
      <c r="B193">
        <v>192</v>
      </c>
      <c r="C193" s="20">
        <v>73</v>
      </c>
    </row>
    <row r="194" spans="1:3" x14ac:dyDescent="0.3">
      <c r="A194" s="21">
        <v>45850</v>
      </c>
      <c r="B194">
        <v>193</v>
      </c>
      <c r="C194" s="20">
        <v>73</v>
      </c>
    </row>
    <row r="195" spans="1:3" x14ac:dyDescent="0.3">
      <c r="A195" s="21">
        <v>45851</v>
      </c>
      <c r="B195">
        <v>194</v>
      </c>
      <c r="C195" s="20">
        <v>73</v>
      </c>
    </row>
    <row r="196" spans="1:3" x14ac:dyDescent="0.3">
      <c r="A196" s="21">
        <v>45852</v>
      </c>
      <c r="B196">
        <v>195</v>
      </c>
      <c r="C196" s="20">
        <v>73</v>
      </c>
    </row>
    <row r="197" spans="1:3" x14ac:dyDescent="0.3">
      <c r="A197" s="21">
        <v>45853</v>
      </c>
      <c r="B197">
        <v>196</v>
      </c>
      <c r="C197" s="20">
        <v>73</v>
      </c>
    </row>
    <row r="198" spans="1:3" x14ac:dyDescent="0.3">
      <c r="A198" s="21">
        <v>45854</v>
      </c>
      <c r="B198">
        <v>197</v>
      </c>
      <c r="C198" s="20">
        <v>73</v>
      </c>
    </row>
    <row r="199" spans="1:3" x14ac:dyDescent="0.3">
      <c r="A199" s="21">
        <v>45855</v>
      </c>
      <c r="B199">
        <v>198</v>
      </c>
      <c r="C199" s="20">
        <v>74</v>
      </c>
    </row>
    <row r="200" spans="1:3" x14ac:dyDescent="0.3">
      <c r="A200" s="21">
        <v>45856</v>
      </c>
      <c r="B200">
        <v>199</v>
      </c>
      <c r="C200" s="20">
        <v>74</v>
      </c>
    </row>
    <row r="201" spans="1:3" x14ac:dyDescent="0.3">
      <c r="A201" s="21">
        <v>45857</v>
      </c>
      <c r="B201">
        <v>200</v>
      </c>
      <c r="C201" s="20">
        <v>74</v>
      </c>
    </row>
    <row r="202" spans="1:3" x14ac:dyDescent="0.3">
      <c r="A202" s="21">
        <v>45858</v>
      </c>
      <c r="B202">
        <v>201</v>
      </c>
      <c r="C202" s="20">
        <v>74</v>
      </c>
    </row>
    <row r="203" spans="1:3" x14ac:dyDescent="0.3">
      <c r="A203" s="21">
        <v>45859</v>
      </c>
      <c r="B203">
        <v>202</v>
      </c>
      <c r="C203" s="20">
        <v>74</v>
      </c>
    </row>
    <row r="204" spans="1:3" x14ac:dyDescent="0.3">
      <c r="A204" s="21">
        <v>45860</v>
      </c>
      <c r="B204">
        <v>203</v>
      </c>
      <c r="C204" s="20">
        <v>74</v>
      </c>
    </row>
    <row r="205" spans="1:3" x14ac:dyDescent="0.3">
      <c r="A205" s="21">
        <v>45861</v>
      </c>
      <c r="B205">
        <v>204</v>
      </c>
      <c r="C205" s="20">
        <v>74</v>
      </c>
    </row>
    <row r="206" spans="1:3" x14ac:dyDescent="0.3">
      <c r="A206" s="21">
        <v>45862</v>
      </c>
      <c r="B206">
        <v>205</v>
      </c>
      <c r="C206" s="20">
        <v>75</v>
      </c>
    </row>
    <row r="207" spans="1:3" x14ac:dyDescent="0.3">
      <c r="A207" s="21">
        <v>45863</v>
      </c>
      <c r="B207">
        <v>206</v>
      </c>
      <c r="C207" s="20">
        <v>75</v>
      </c>
    </row>
    <row r="208" spans="1:3" x14ac:dyDescent="0.3">
      <c r="A208" s="21">
        <v>45864</v>
      </c>
      <c r="B208">
        <v>207</v>
      </c>
      <c r="C208" s="20">
        <v>75</v>
      </c>
    </row>
    <row r="209" spans="1:3" x14ac:dyDescent="0.3">
      <c r="A209" s="21">
        <v>45865</v>
      </c>
      <c r="B209">
        <v>208</v>
      </c>
      <c r="C209" s="20">
        <v>75</v>
      </c>
    </row>
    <row r="210" spans="1:3" x14ac:dyDescent="0.3">
      <c r="A210" s="21">
        <v>45866</v>
      </c>
      <c r="B210">
        <v>209</v>
      </c>
      <c r="C210" s="20">
        <v>75</v>
      </c>
    </row>
    <row r="211" spans="1:3" x14ac:dyDescent="0.3">
      <c r="A211" s="21">
        <v>45867</v>
      </c>
      <c r="B211">
        <v>210</v>
      </c>
      <c r="C211" s="20">
        <v>75</v>
      </c>
    </row>
    <row r="212" spans="1:3" x14ac:dyDescent="0.3">
      <c r="A212" s="21">
        <v>45868</v>
      </c>
      <c r="B212">
        <v>211</v>
      </c>
      <c r="C212" s="20">
        <v>75</v>
      </c>
    </row>
    <row r="213" spans="1:3" x14ac:dyDescent="0.3">
      <c r="A213" s="21">
        <v>45869</v>
      </c>
      <c r="B213">
        <v>212</v>
      </c>
      <c r="C213" s="20">
        <v>81</v>
      </c>
    </row>
    <row r="214" spans="1:3" x14ac:dyDescent="0.3">
      <c r="A214" s="21">
        <v>45870</v>
      </c>
      <c r="B214">
        <v>213</v>
      </c>
      <c r="C214" s="20">
        <v>81</v>
      </c>
    </row>
    <row r="215" spans="1:3" x14ac:dyDescent="0.3">
      <c r="A215" s="21">
        <v>45871</v>
      </c>
      <c r="B215">
        <v>214</v>
      </c>
      <c r="C215" s="20">
        <v>81</v>
      </c>
    </row>
    <row r="216" spans="1:3" x14ac:dyDescent="0.3">
      <c r="A216" s="21">
        <v>45872</v>
      </c>
      <c r="B216">
        <v>215</v>
      </c>
      <c r="C216" s="20">
        <v>81</v>
      </c>
    </row>
    <row r="217" spans="1:3" x14ac:dyDescent="0.3">
      <c r="A217" s="21">
        <v>45873</v>
      </c>
      <c r="B217">
        <v>216</v>
      </c>
      <c r="C217" s="20">
        <v>81</v>
      </c>
    </row>
    <row r="218" spans="1:3" x14ac:dyDescent="0.3">
      <c r="A218" s="21">
        <v>45874</v>
      </c>
      <c r="B218">
        <v>217</v>
      </c>
      <c r="C218" s="20">
        <v>81</v>
      </c>
    </row>
    <row r="219" spans="1:3" x14ac:dyDescent="0.3">
      <c r="A219" s="21">
        <v>45875</v>
      </c>
      <c r="B219">
        <v>218</v>
      </c>
      <c r="C219" s="20">
        <v>81</v>
      </c>
    </row>
    <row r="220" spans="1:3" x14ac:dyDescent="0.3">
      <c r="A220" s="21">
        <v>45876</v>
      </c>
      <c r="B220">
        <v>219</v>
      </c>
      <c r="C220" s="20">
        <v>82</v>
      </c>
    </row>
    <row r="221" spans="1:3" x14ac:dyDescent="0.3">
      <c r="A221" s="21">
        <v>45877</v>
      </c>
      <c r="B221">
        <v>220</v>
      </c>
      <c r="C221" s="20">
        <v>82</v>
      </c>
    </row>
    <row r="222" spans="1:3" x14ac:dyDescent="0.3">
      <c r="A222" s="21">
        <v>45878</v>
      </c>
      <c r="B222">
        <v>221</v>
      </c>
      <c r="C222" s="20">
        <v>82</v>
      </c>
    </row>
    <row r="223" spans="1:3" x14ac:dyDescent="0.3">
      <c r="A223" s="21">
        <v>45879</v>
      </c>
      <c r="B223">
        <v>222</v>
      </c>
      <c r="C223" s="20">
        <v>82</v>
      </c>
    </row>
    <row r="224" spans="1:3" x14ac:dyDescent="0.3">
      <c r="A224" s="21">
        <v>45880</v>
      </c>
      <c r="B224">
        <v>223</v>
      </c>
      <c r="C224" s="20">
        <v>82</v>
      </c>
    </row>
    <row r="225" spans="1:3" x14ac:dyDescent="0.3">
      <c r="A225" s="21">
        <v>45881</v>
      </c>
      <c r="B225">
        <v>224</v>
      </c>
      <c r="C225" s="20">
        <v>82</v>
      </c>
    </row>
    <row r="226" spans="1:3" x14ac:dyDescent="0.3">
      <c r="A226" s="21">
        <v>45882</v>
      </c>
      <c r="B226">
        <v>225</v>
      </c>
      <c r="C226" s="20">
        <v>82</v>
      </c>
    </row>
    <row r="227" spans="1:3" x14ac:dyDescent="0.3">
      <c r="A227" s="21">
        <v>45883</v>
      </c>
      <c r="B227">
        <v>226</v>
      </c>
      <c r="C227" s="20">
        <v>83</v>
      </c>
    </row>
    <row r="228" spans="1:3" x14ac:dyDescent="0.3">
      <c r="A228" s="21">
        <v>45884</v>
      </c>
      <c r="B228">
        <v>227</v>
      </c>
      <c r="C228" s="20">
        <v>83</v>
      </c>
    </row>
    <row r="229" spans="1:3" x14ac:dyDescent="0.3">
      <c r="A229" s="21">
        <v>45885</v>
      </c>
      <c r="B229">
        <v>228</v>
      </c>
      <c r="C229" s="20">
        <v>83</v>
      </c>
    </row>
    <row r="230" spans="1:3" x14ac:dyDescent="0.3">
      <c r="A230" s="21">
        <v>45886</v>
      </c>
      <c r="B230">
        <v>229</v>
      </c>
      <c r="C230" s="20">
        <v>83</v>
      </c>
    </row>
    <row r="231" spans="1:3" x14ac:dyDescent="0.3">
      <c r="A231" s="21">
        <v>45887</v>
      </c>
      <c r="B231">
        <v>230</v>
      </c>
      <c r="C231" s="20">
        <v>83</v>
      </c>
    </row>
    <row r="232" spans="1:3" x14ac:dyDescent="0.3">
      <c r="A232" s="21">
        <v>45888</v>
      </c>
      <c r="B232">
        <v>231</v>
      </c>
      <c r="C232" s="20">
        <v>83</v>
      </c>
    </row>
    <row r="233" spans="1:3" x14ac:dyDescent="0.3">
      <c r="A233" s="21">
        <v>45889</v>
      </c>
      <c r="B233">
        <v>232</v>
      </c>
      <c r="C233" s="20">
        <v>83</v>
      </c>
    </row>
    <row r="234" spans="1:3" x14ac:dyDescent="0.3">
      <c r="A234" s="21">
        <v>45890</v>
      </c>
      <c r="B234">
        <v>233</v>
      </c>
      <c r="C234" s="20">
        <v>84</v>
      </c>
    </row>
    <row r="235" spans="1:3" x14ac:dyDescent="0.3">
      <c r="A235" s="21">
        <v>45891</v>
      </c>
      <c r="B235">
        <v>234</v>
      </c>
      <c r="C235" s="20">
        <v>84</v>
      </c>
    </row>
    <row r="236" spans="1:3" x14ac:dyDescent="0.3">
      <c r="A236" s="21">
        <v>45892</v>
      </c>
      <c r="B236">
        <v>235</v>
      </c>
      <c r="C236" s="20">
        <v>84</v>
      </c>
    </row>
    <row r="237" spans="1:3" x14ac:dyDescent="0.3">
      <c r="A237" s="21">
        <v>45893</v>
      </c>
      <c r="B237">
        <v>236</v>
      </c>
      <c r="C237" s="20">
        <v>84</v>
      </c>
    </row>
    <row r="238" spans="1:3" x14ac:dyDescent="0.3">
      <c r="A238" s="21">
        <v>45894</v>
      </c>
      <c r="B238">
        <v>237</v>
      </c>
      <c r="C238" s="20">
        <v>84</v>
      </c>
    </row>
    <row r="239" spans="1:3" x14ac:dyDescent="0.3">
      <c r="A239" s="21">
        <v>45895</v>
      </c>
      <c r="B239">
        <v>238</v>
      </c>
      <c r="C239" s="20">
        <v>84</v>
      </c>
    </row>
    <row r="240" spans="1:3" x14ac:dyDescent="0.3">
      <c r="A240" s="21">
        <v>45896</v>
      </c>
      <c r="B240">
        <v>239</v>
      </c>
      <c r="C240" s="20">
        <v>84</v>
      </c>
    </row>
    <row r="241" spans="1:3" x14ac:dyDescent="0.3">
      <c r="A241" s="21">
        <v>45897</v>
      </c>
      <c r="B241">
        <v>240</v>
      </c>
      <c r="C241" s="20">
        <v>91</v>
      </c>
    </row>
    <row r="242" spans="1:3" x14ac:dyDescent="0.3">
      <c r="A242" s="21">
        <v>45898</v>
      </c>
      <c r="B242">
        <v>241</v>
      </c>
      <c r="C242" s="20">
        <v>91</v>
      </c>
    </row>
    <row r="243" spans="1:3" x14ac:dyDescent="0.3">
      <c r="A243" s="21">
        <v>45899</v>
      </c>
      <c r="B243">
        <v>242</v>
      </c>
      <c r="C243" s="20">
        <v>91</v>
      </c>
    </row>
    <row r="244" spans="1:3" x14ac:dyDescent="0.3">
      <c r="A244" s="21">
        <v>45900</v>
      </c>
      <c r="B244">
        <v>243</v>
      </c>
      <c r="C244" s="20">
        <v>91</v>
      </c>
    </row>
    <row r="245" spans="1:3" x14ac:dyDescent="0.3">
      <c r="A245" s="21">
        <v>45901</v>
      </c>
      <c r="B245">
        <v>244</v>
      </c>
      <c r="C245" s="20">
        <v>91</v>
      </c>
    </row>
    <row r="246" spans="1:3" x14ac:dyDescent="0.3">
      <c r="A246" s="21">
        <v>45902</v>
      </c>
      <c r="B246">
        <v>245</v>
      </c>
      <c r="C246" s="20">
        <v>91</v>
      </c>
    </row>
    <row r="247" spans="1:3" x14ac:dyDescent="0.3">
      <c r="A247" s="21">
        <v>45903</v>
      </c>
      <c r="B247">
        <v>246</v>
      </c>
      <c r="C247" s="20">
        <v>91</v>
      </c>
    </row>
    <row r="248" spans="1:3" x14ac:dyDescent="0.3">
      <c r="A248" s="21">
        <v>45904</v>
      </c>
      <c r="B248">
        <v>247</v>
      </c>
      <c r="C248" s="20">
        <v>92</v>
      </c>
    </row>
    <row r="249" spans="1:3" x14ac:dyDescent="0.3">
      <c r="A249" s="21">
        <v>45905</v>
      </c>
      <c r="B249">
        <v>248</v>
      </c>
      <c r="C249" s="20">
        <v>92</v>
      </c>
    </row>
    <row r="250" spans="1:3" x14ac:dyDescent="0.3">
      <c r="A250" s="21">
        <v>45906</v>
      </c>
      <c r="B250">
        <v>249</v>
      </c>
      <c r="C250" s="20">
        <v>92</v>
      </c>
    </row>
    <row r="251" spans="1:3" x14ac:dyDescent="0.3">
      <c r="A251" s="21">
        <v>45907</v>
      </c>
      <c r="B251">
        <v>250</v>
      </c>
      <c r="C251" s="20">
        <v>92</v>
      </c>
    </row>
    <row r="252" spans="1:3" x14ac:dyDescent="0.3">
      <c r="A252" s="21">
        <v>45908</v>
      </c>
      <c r="B252">
        <v>251</v>
      </c>
      <c r="C252" s="20">
        <v>92</v>
      </c>
    </row>
    <row r="253" spans="1:3" x14ac:dyDescent="0.3">
      <c r="A253" s="21">
        <v>45909</v>
      </c>
      <c r="B253">
        <v>252</v>
      </c>
      <c r="C253" s="20">
        <v>92</v>
      </c>
    </row>
    <row r="254" spans="1:3" x14ac:dyDescent="0.3">
      <c r="A254" s="21">
        <v>45910</v>
      </c>
      <c r="B254">
        <v>253</v>
      </c>
      <c r="C254" s="20">
        <v>92</v>
      </c>
    </row>
    <row r="255" spans="1:3" x14ac:dyDescent="0.3">
      <c r="A255" s="21">
        <v>45911</v>
      </c>
      <c r="B255">
        <v>254</v>
      </c>
      <c r="C255" s="20">
        <v>93</v>
      </c>
    </row>
    <row r="256" spans="1:3" x14ac:dyDescent="0.3">
      <c r="A256" s="21">
        <v>45912</v>
      </c>
      <c r="B256">
        <v>255</v>
      </c>
      <c r="C256" s="20">
        <v>93</v>
      </c>
    </row>
    <row r="257" spans="1:3" x14ac:dyDescent="0.3">
      <c r="A257" s="21">
        <v>45913</v>
      </c>
      <c r="B257">
        <v>256</v>
      </c>
      <c r="C257" s="20">
        <v>93</v>
      </c>
    </row>
    <row r="258" spans="1:3" x14ac:dyDescent="0.3">
      <c r="A258" s="21">
        <v>45914</v>
      </c>
      <c r="B258">
        <v>257</v>
      </c>
      <c r="C258" s="20">
        <v>93</v>
      </c>
    </row>
    <row r="259" spans="1:3" x14ac:dyDescent="0.3">
      <c r="A259" s="21">
        <v>45915</v>
      </c>
      <c r="B259">
        <v>258</v>
      </c>
      <c r="C259" s="20">
        <v>93</v>
      </c>
    </row>
    <row r="260" spans="1:3" x14ac:dyDescent="0.3">
      <c r="A260" s="21">
        <v>45916</v>
      </c>
      <c r="B260">
        <v>259</v>
      </c>
      <c r="C260" s="20">
        <v>93</v>
      </c>
    </row>
    <row r="261" spans="1:3" x14ac:dyDescent="0.3">
      <c r="A261" s="21">
        <v>45917</v>
      </c>
      <c r="B261">
        <v>260</v>
      </c>
      <c r="C261" s="20">
        <v>93</v>
      </c>
    </row>
    <row r="262" spans="1:3" x14ac:dyDescent="0.3">
      <c r="A262" s="21">
        <v>45918</v>
      </c>
      <c r="B262">
        <v>261</v>
      </c>
      <c r="C262" s="20">
        <v>94</v>
      </c>
    </row>
    <row r="263" spans="1:3" x14ac:dyDescent="0.3">
      <c r="A263" s="21">
        <v>45919</v>
      </c>
      <c r="B263">
        <v>262</v>
      </c>
      <c r="C263" s="20">
        <v>94</v>
      </c>
    </row>
    <row r="264" spans="1:3" x14ac:dyDescent="0.3">
      <c r="A264" s="21">
        <v>45920</v>
      </c>
      <c r="B264">
        <v>263</v>
      </c>
      <c r="C264" s="20">
        <v>94</v>
      </c>
    </row>
    <row r="265" spans="1:3" x14ac:dyDescent="0.3">
      <c r="A265" s="21">
        <v>45921</v>
      </c>
      <c r="B265">
        <v>264</v>
      </c>
      <c r="C265" s="20">
        <v>94</v>
      </c>
    </row>
    <row r="266" spans="1:3" x14ac:dyDescent="0.3">
      <c r="A266" s="21">
        <v>45922</v>
      </c>
      <c r="B266">
        <v>265</v>
      </c>
      <c r="C266" s="20">
        <v>94</v>
      </c>
    </row>
    <row r="267" spans="1:3" x14ac:dyDescent="0.3">
      <c r="A267" s="21">
        <v>45923</v>
      </c>
      <c r="B267">
        <v>266</v>
      </c>
      <c r="C267" s="20">
        <v>94</v>
      </c>
    </row>
    <row r="268" spans="1:3" x14ac:dyDescent="0.3">
      <c r="A268" s="21">
        <v>45924</v>
      </c>
      <c r="B268">
        <v>267</v>
      </c>
      <c r="C268" s="20">
        <v>94</v>
      </c>
    </row>
    <row r="269" spans="1:3" x14ac:dyDescent="0.3">
      <c r="A269" s="21">
        <v>45925</v>
      </c>
      <c r="B269">
        <v>268</v>
      </c>
      <c r="C269" s="20">
        <v>101</v>
      </c>
    </row>
    <row r="270" spans="1:3" x14ac:dyDescent="0.3">
      <c r="A270" s="21">
        <v>45926</v>
      </c>
      <c r="B270">
        <v>269</v>
      </c>
      <c r="C270" s="20">
        <v>101</v>
      </c>
    </row>
    <row r="271" spans="1:3" x14ac:dyDescent="0.3">
      <c r="A271" s="21">
        <v>45927</v>
      </c>
      <c r="B271">
        <v>270</v>
      </c>
      <c r="C271" s="20">
        <v>101</v>
      </c>
    </row>
    <row r="272" spans="1:3" x14ac:dyDescent="0.3">
      <c r="A272" s="21">
        <v>45928</v>
      </c>
      <c r="B272">
        <v>271</v>
      </c>
      <c r="C272" s="20">
        <v>101</v>
      </c>
    </row>
    <row r="273" spans="1:3" x14ac:dyDescent="0.3">
      <c r="A273" s="21">
        <v>45929</v>
      </c>
      <c r="B273">
        <v>272</v>
      </c>
      <c r="C273" s="20">
        <v>101</v>
      </c>
    </row>
    <row r="274" spans="1:3" x14ac:dyDescent="0.3">
      <c r="A274" s="21">
        <v>45930</v>
      </c>
      <c r="B274">
        <v>273</v>
      </c>
      <c r="C274" s="20">
        <v>101</v>
      </c>
    </row>
    <row r="275" spans="1:3" x14ac:dyDescent="0.3">
      <c r="A275" s="21">
        <v>45931</v>
      </c>
      <c r="B275">
        <v>274</v>
      </c>
      <c r="C275" s="20">
        <v>101</v>
      </c>
    </row>
    <row r="276" spans="1:3" x14ac:dyDescent="0.3">
      <c r="A276" s="21">
        <v>45932</v>
      </c>
      <c r="B276">
        <v>275</v>
      </c>
      <c r="C276" s="20">
        <v>102</v>
      </c>
    </row>
    <row r="277" spans="1:3" x14ac:dyDescent="0.3">
      <c r="A277" s="21">
        <v>45933</v>
      </c>
      <c r="B277">
        <v>276</v>
      </c>
      <c r="C277" s="20">
        <v>102</v>
      </c>
    </row>
    <row r="278" spans="1:3" x14ac:dyDescent="0.3">
      <c r="A278" s="21">
        <v>45934</v>
      </c>
      <c r="B278">
        <v>277</v>
      </c>
      <c r="C278" s="20">
        <v>102</v>
      </c>
    </row>
    <row r="279" spans="1:3" x14ac:dyDescent="0.3">
      <c r="A279" s="21">
        <v>45935</v>
      </c>
      <c r="B279">
        <v>278</v>
      </c>
      <c r="C279" s="20">
        <v>102</v>
      </c>
    </row>
    <row r="280" spans="1:3" x14ac:dyDescent="0.3">
      <c r="A280" s="21">
        <v>45936</v>
      </c>
      <c r="B280">
        <v>279</v>
      </c>
      <c r="C280" s="20">
        <v>102</v>
      </c>
    </row>
    <row r="281" spans="1:3" x14ac:dyDescent="0.3">
      <c r="A281" s="21">
        <v>45937</v>
      </c>
      <c r="B281">
        <v>280</v>
      </c>
      <c r="C281" s="20">
        <v>102</v>
      </c>
    </row>
    <row r="282" spans="1:3" x14ac:dyDescent="0.3">
      <c r="A282" s="21">
        <v>45938</v>
      </c>
      <c r="B282">
        <v>281</v>
      </c>
      <c r="C282" s="20">
        <v>102</v>
      </c>
    </row>
    <row r="283" spans="1:3" x14ac:dyDescent="0.3">
      <c r="A283" s="21">
        <v>45939</v>
      </c>
      <c r="B283">
        <v>282</v>
      </c>
      <c r="C283" s="20">
        <v>103</v>
      </c>
    </row>
    <row r="284" spans="1:3" x14ac:dyDescent="0.3">
      <c r="A284" s="21">
        <v>45940</v>
      </c>
      <c r="B284">
        <v>283</v>
      </c>
      <c r="C284" s="20">
        <v>103</v>
      </c>
    </row>
    <row r="285" spans="1:3" x14ac:dyDescent="0.3">
      <c r="A285" s="21">
        <v>45941</v>
      </c>
      <c r="B285">
        <v>284</v>
      </c>
      <c r="C285" s="20">
        <v>103</v>
      </c>
    </row>
    <row r="286" spans="1:3" x14ac:dyDescent="0.3">
      <c r="A286" s="21">
        <v>45942</v>
      </c>
      <c r="B286">
        <v>285</v>
      </c>
      <c r="C286" s="20">
        <v>103</v>
      </c>
    </row>
    <row r="287" spans="1:3" x14ac:dyDescent="0.3">
      <c r="A287" s="21">
        <v>45943</v>
      </c>
      <c r="B287">
        <v>286</v>
      </c>
      <c r="C287" s="20">
        <v>103</v>
      </c>
    </row>
    <row r="288" spans="1:3" x14ac:dyDescent="0.3">
      <c r="A288" s="21">
        <v>45944</v>
      </c>
      <c r="B288">
        <v>287</v>
      </c>
      <c r="C288" s="20">
        <v>103</v>
      </c>
    </row>
    <row r="289" spans="1:3" x14ac:dyDescent="0.3">
      <c r="A289" s="21">
        <v>45945</v>
      </c>
      <c r="B289">
        <v>288</v>
      </c>
      <c r="C289" s="20">
        <v>103</v>
      </c>
    </row>
    <row r="290" spans="1:3" x14ac:dyDescent="0.3">
      <c r="A290" s="21">
        <v>45946</v>
      </c>
      <c r="B290">
        <v>289</v>
      </c>
      <c r="C290" s="20">
        <v>104</v>
      </c>
    </row>
    <row r="291" spans="1:3" x14ac:dyDescent="0.3">
      <c r="A291" s="21">
        <v>45947</v>
      </c>
      <c r="B291">
        <v>290</v>
      </c>
      <c r="C291" s="20">
        <v>104</v>
      </c>
    </row>
    <row r="292" spans="1:3" x14ac:dyDescent="0.3">
      <c r="A292" s="21">
        <v>45948</v>
      </c>
      <c r="B292">
        <v>291</v>
      </c>
      <c r="C292" s="20">
        <v>104</v>
      </c>
    </row>
    <row r="293" spans="1:3" x14ac:dyDescent="0.3">
      <c r="A293" s="21">
        <v>45949</v>
      </c>
      <c r="B293">
        <v>292</v>
      </c>
      <c r="C293" s="20">
        <v>104</v>
      </c>
    </row>
    <row r="294" spans="1:3" x14ac:dyDescent="0.3">
      <c r="A294" s="21">
        <v>45950</v>
      </c>
      <c r="B294">
        <v>293</v>
      </c>
      <c r="C294" s="20">
        <v>104</v>
      </c>
    </row>
    <row r="295" spans="1:3" x14ac:dyDescent="0.3">
      <c r="A295" s="21">
        <v>45951</v>
      </c>
      <c r="B295">
        <v>294</v>
      </c>
      <c r="C295" s="20">
        <v>104</v>
      </c>
    </row>
    <row r="296" spans="1:3" x14ac:dyDescent="0.3">
      <c r="A296" s="21">
        <v>45952</v>
      </c>
      <c r="B296">
        <v>295</v>
      </c>
      <c r="C296" s="20">
        <v>104</v>
      </c>
    </row>
    <row r="297" spans="1:3" x14ac:dyDescent="0.3">
      <c r="A297" s="21">
        <v>45953</v>
      </c>
      <c r="B297">
        <v>296</v>
      </c>
      <c r="C297" s="20">
        <v>105</v>
      </c>
    </row>
    <row r="298" spans="1:3" x14ac:dyDescent="0.3">
      <c r="A298" s="21">
        <v>45954</v>
      </c>
      <c r="B298">
        <v>297</v>
      </c>
      <c r="C298" s="20">
        <v>105</v>
      </c>
    </row>
    <row r="299" spans="1:3" x14ac:dyDescent="0.3">
      <c r="A299" s="21">
        <v>45955</v>
      </c>
      <c r="B299">
        <v>298</v>
      </c>
      <c r="C299" s="20">
        <v>105</v>
      </c>
    </row>
    <row r="300" spans="1:3" x14ac:dyDescent="0.3">
      <c r="A300" s="21">
        <v>45956</v>
      </c>
      <c r="B300">
        <v>299</v>
      </c>
      <c r="C300" s="20">
        <v>105</v>
      </c>
    </row>
    <row r="301" spans="1:3" x14ac:dyDescent="0.3">
      <c r="A301" s="21">
        <v>45957</v>
      </c>
      <c r="B301">
        <v>300</v>
      </c>
      <c r="C301" s="20">
        <v>105</v>
      </c>
    </row>
    <row r="302" spans="1:3" x14ac:dyDescent="0.3">
      <c r="A302" s="21">
        <v>45958</v>
      </c>
      <c r="B302">
        <v>301</v>
      </c>
      <c r="C302" s="20">
        <v>105</v>
      </c>
    </row>
    <row r="303" spans="1:3" x14ac:dyDescent="0.3">
      <c r="A303" s="21">
        <v>45959</v>
      </c>
      <c r="B303">
        <v>302</v>
      </c>
      <c r="C303" s="20">
        <v>105</v>
      </c>
    </row>
    <row r="304" spans="1:3" x14ac:dyDescent="0.3">
      <c r="A304" s="21">
        <v>45960</v>
      </c>
      <c r="B304">
        <v>303</v>
      </c>
      <c r="C304" s="20">
        <v>111</v>
      </c>
    </row>
    <row r="305" spans="1:3" x14ac:dyDescent="0.3">
      <c r="A305" s="21">
        <v>45961</v>
      </c>
      <c r="B305">
        <v>304</v>
      </c>
      <c r="C305" s="20">
        <v>111</v>
      </c>
    </row>
    <row r="306" spans="1:3" x14ac:dyDescent="0.3">
      <c r="A306" s="21">
        <v>45962</v>
      </c>
      <c r="B306">
        <v>305</v>
      </c>
      <c r="C306" s="20">
        <v>111</v>
      </c>
    </row>
    <row r="307" spans="1:3" x14ac:dyDescent="0.3">
      <c r="A307" s="21">
        <v>45963</v>
      </c>
      <c r="B307">
        <v>306</v>
      </c>
      <c r="C307" s="20">
        <v>111</v>
      </c>
    </row>
    <row r="308" spans="1:3" x14ac:dyDescent="0.3">
      <c r="A308" s="21">
        <v>45964</v>
      </c>
      <c r="B308">
        <v>307</v>
      </c>
      <c r="C308" s="20">
        <v>111</v>
      </c>
    </row>
    <row r="309" spans="1:3" x14ac:dyDescent="0.3">
      <c r="A309" s="21">
        <v>45965</v>
      </c>
      <c r="B309">
        <v>308</v>
      </c>
      <c r="C309" s="20">
        <v>111</v>
      </c>
    </row>
    <row r="310" spans="1:3" x14ac:dyDescent="0.3">
      <c r="A310" s="21">
        <v>45966</v>
      </c>
      <c r="B310">
        <v>309</v>
      </c>
      <c r="C310" s="20">
        <v>111</v>
      </c>
    </row>
    <row r="311" spans="1:3" x14ac:dyDescent="0.3">
      <c r="A311" s="21">
        <v>45967</v>
      </c>
      <c r="B311">
        <v>310</v>
      </c>
      <c r="C311" s="20">
        <v>112</v>
      </c>
    </row>
    <row r="312" spans="1:3" x14ac:dyDescent="0.3">
      <c r="A312" s="21">
        <v>45968</v>
      </c>
      <c r="B312">
        <v>311</v>
      </c>
      <c r="C312" s="20">
        <v>112</v>
      </c>
    </row>
    <row r="313" spans="1:3" x14ac:dyDescent="0.3">
      <c r="A313" s="21">
        <v>45969</v>
      </c>
      <c r="B313">
        <v>312</v>
      </c>
      <c r="C313" s="20">
        <v>112</v>
      </c>
    </row>
    <row r="314" spans="1:3" x14ac:dyDescent="0.3">
      <c r="A314" s="21">
        <v>45970</v>
      </c>
      <c r="B314">
        <v>313</v>
      </c>
      <c r="C314" s="20">
        <v>112</v>
      </c>
    </row>
    <row r="315" spans="1:3" x14ac:dyDescent="0.3">
      <c r="A315" s="21">
        <v>45971</v>
      </c>
      <c r="B315">
        <v>314</v>
      </c>
      <c r="C315" s="20">
        <v>112</v>
      </c>
    </row>
    <row r="316" spans="1:3" x14ac:dyDescent="0.3">
      <c r="A316" s="21">
        <v>45972</v>
      </c>
      <c r="B316">
        <v>315</v>
      </c>
      <c r="C316" s="20">
        <v>112</v>
      </c>
    </row>
    <row r="317" spans="1:3" x14ac:dyDescent="0.3">
      <c r="A317" s="21">
        <v>45973</v>
      </c>
      <c r="B317">
        <v>316</v>
      </c>
      <c r="C317" s="20">
        <v>112</v>
      </c>
    </row>
    <row r="318" spans="1:3" x14ac:dyDescent="0.3">
      <c r="A318" s="21">
        <v>45974</v>
      </c>
      <c r="B318">
        <v>317</v>
      </c>
      <c r="C318" s="20">
        <v>113</v>
      </c>
    </row>
    <row r="319" spans="1:3" x14ac:dyDescent="0.3">
      <c r="A319" s="21">
        <v>45975</v>
      </c>
      <c r="B319">
        <v>318</v>
      </c>
      <c r="C319" s="20">
        <v>113</v>
      </c>
    </row>
    <row r="320" spans="1:3" x14ac:dyDescent="0.3">
      <c r="A320" s="21">
        <v>45976</v>
      </c>
      <c r="B320">
        <v>319</v>
      </c>
      <c r="C320" s="20">
        <v>113</v>
      </c>
    </row>
    <row r="321" spans="1:3" x14ac:dyDescent="0.3">
      <c r="A321" s="21">
        <v>45977</v>
      </c>
      <c r="B321">
        <v>320</v>
      </c>
      <c r="C321" s="20">
        <v>113</v>
      </c>
    </row>
    <row r="322" spans="1:3" x14ac:dyDescent="0.3">
      <c r="A322" s="21">
        <v>45978</v>
      </c>
      <c r="B322">
        <v>321</v>
      </c>
      <c r="C322" s="20">
        <v>113</v>
      </c>
    </row>
    <row r="323" spans="1:3" x14ac:dyDescent="0.3">
      <c r="A323" s="21">
        <v>45979</v>
      </c>
      <c r="B323">
        <v>322</v>
      </c>
      <c r="C323" s="20">
        <v>113</v>
      </c>
    </row>
    <row r="324" spans="1:3" x14ac:dyDescent="0.3">
      <c r="A324" s="21">
        <v>45980</v>
      </c>
      <c r="B324">
        <v>323</v>
      </c>
      <c r="C324" s="20">
        <v>113</v>
      </c>
    </row>
    <row r="325" spans="1:3" x14ac:dyDescent="0.3">
      <c r="A325" s="21">
        <v>45981</v>
      </c>
      <c r="B325">
        <v>324</v>
      </c>
      <c r="C325" s="20">
        <v>114</v>
      </c>
    </row>
    <row r="326" spans="1:3" x14ac:dyDescent="0.3">
      <c r="A326" s="21">
        <v>45982</v>
      </c>
      <c r="B326">
        <v>325</v>
      </c>
      <c r="C326" s="20">
        <v>114</v>
      </c>
    </row>
    <row r="327" spans="1:3" x14ac:dyDescent="0.3">
      <c r="A327" s="21">
        <v>45983</v>
      </c>
      <c r="B327">
        <v>326</v>
      </c>
      <c r="C327" s="20">
        <v>114</v>
      </c>
    </row>
    <row r="328" spans="1:3" x14ac:dyDescent="0.3">
      <c r="A328" s="21">
        <v>45984</v>
      </c>
      <c r="B328">
        <v>327</v>
      </c>
      <c r="C328" s="20">
        <v>114</v>
      </c>
    </row>
    <row r="329" spans="1:3" x14ac:dyDescent="0.3">
      <c r="A329" s="21">
        <v>45985</v>
      </c>
      <c r="B329">
        <v>328</v>
      </c>
      <c r="C329" s="20">
        <v>114</v>
      </c>
    </row>
    <row r="330" spans="1:3" x14ac:dyDescent="0.3">
      <c r="A330" s="21">
        <v>45986</v>
      </c>
      <c r="B330">
        <v>329</v>
      </c>
      <c r="C330" s="20">
        <v>114</v>
      </c>
    </row>
    <row r="331" spans="1:3" x14ac:dyDescent="0.3">
      <c r="A331" s="21">
        <v>45987</v>
      </c>
      <c r="B331">
        <v>330</v>
      </c>
      <c r="C331" s="20">
        <v>114</v>
      </c>
    </row>
    <row r="332" spans="1:3" x14ac:dyDescent="0.3">
      <c r="A332" s="21">
        <v>45988</v>
      </c>
      <c r="B332">
        <v>331</v>
      </c>
      <c r="C332" s="20">
        <v>121</v>
      </c>
    </row>
    <row r="333" spans="1:3" x14ac:dyDescent="0.3">
      <c r="A333" s="21">
        <v>45989</v>
      </c>
      <c r="B333">
        <v>332</v>
      </c>
      <c r="C333" s="20">
        <v>121</v>
      </c>
    </row>
    <row r="334" spans="1:3" x14ac:dyDescent="0.3">
      <c r="A334" s="21">
        <v>45990</v>
      </c>
      <c r="B334">
        <v>333</v>
      </c>
      <c r="C334" s="20">
        <v>121</v>
      </c>
    </row>
    <row r="335" spans="1:3" x14ac:dyDescent="0.3">
      <c r="A335" s="21">
        <v>45991</v>
      </c>
      <c r="B335">
        <v>334</v>
      </c>
      <c r="C335" s="20">
        <v>121</v>
      </c>
    </row>
    <row r="336" spans="1:3" x14ac:dyDescent="0.3">
      <c r="A336" s="21">
        <v>45992</v>
      </c>
      <c r="B336">
        <v>335</v>
      </c>
      <c r="C336" s="20">
        <v>121</v>
      </c>
    </row>
    <row r="337" spans="1:3" x14ac:dyDescent="0.3">
      <c r="A337" s="21">
        <v>45993</v>
      </c>
      <c r="B337">
        <v>336</v>
      </c>
      <c r="C337" s="20">
        <v>121</v>
      </c>
    </row>
    <row r="338" spans="1:3" x14ac:dyDescent="0.3">
      <c r="A338" s="21">
        <v>45994</v>
      </c>
      <c r="B338">
        <v>337</v>
      </c>
      <c r="C338" s="20">
        <v>121</v>
      </c>
    </row>
    <row r="339" spans="1:3" x14ac:dyDescent="0.3">
      <c r="A339" s="21">
        <v>45995</v>
      </c>
      <c r="B339">
        <v>338</v>
      </c>
      <c r="C339" s="20">
        <v>122</v>
      </c>
    </row>
    <row r="340" spans="1:3" x14ac:dyDescent="0.3">
      <c r="A340" s="21">
        <v>45996</v>
      </c>
      <c r="B340">
        <v>339</v>
      </c>
      <c r="C340" s="20">
        <v>122</v>
      </c>
    </row>
    <row r="341" spans="1:3" x14ac:dyDescent="0.3">
      <c r="A341" s="21">
        <v>45997</v>
      </c>
      <c r="B341">
        <v>340</v>
      </c>
      <c r="C341" s="20">
        <v>122</v>
      </c>
    </row>
    <row r="342" spans="1:3" x14ac:dyDescent="0.3">
      <c r="A342" s="21">
        <v>45998</v>
      </c>
      <c r="B342">
        <v>341</v>
      </c>
      <c r="C342" s="20">
        <v>122</v>
      </c>
    </row>
    <row r="343" spans="1:3" x14ac:dyDescent="0.3">
      <c r="A343" s="21">
        <v>45999</v>
      </c>
      <c r="B343">
        <v>342</v>
      </c>
      <c r="C343" s="20">
        <v>122</v>
      </c>
    </row>
    <row r="344" spans="1:3" x14ac:dyDescent="0.3">
      <c r="A344" s="21">
        <v>46000</v>
      </c>
      <c r="B344">
        <v>343</v>
      </c>
      <c r="C344" s="20">
        <v>122</v>
      </c>
    </row>
    <row r="345" spans="1:3" x14ac:dyDescent="0.3">
      <c r="A345" s="21">
        <v>46001</v>
      </c>
      <c r="B345">
        <v>344</v>
      </c>
      <c r="C345" s="20">
        <v>122</v>
      </c>
    </row>
    <row r="346" spans="1:3" x14ac:dyDescent="0.3">
      <c r="A346" s="21">
        <v>46002</v>
      </c>
      <c r="B346">
        <v>345</v>
      </c>
      <c r="C346" s="20">
        <v>123</v>
      </c>
    </row>
    <row r="347" spans="1:3" x14ac:dyDescent="0.3">
      <c r="A347" s="21">
        <v>46003</v>
      </c>
      <c r="B347">
        <v>346</v>
      </c>
      <c r="C347" s="20">
        <v>123</v>
      </c>
    </row>
    <row r="348" spans="1:3" x14ac:dyDescent="0.3">
      <c r="A348" s="21">
        <v>46004</v>
      </c>
      <c r="B348">
        <v>347</v>
      </c>
      <c r="C348" s="20">
        <v>123</v>
      </c>
    </row>
    <row r="349" spans="1:3" x14ac:dyDescent="0.3">
      <c r="A349" s="21">
        <v>46005</v>
      </c>
      <c r="B349">
        <v>348</v>
      </c>
      <c r="C349" s="20">
        <v>123</v>
      </c>
    </row>
    <row r="350" spans="1:3" x14ac:dyDescent="0.3">
      <c r="A350" s="21">
        <v>46006</v>
      </c>
      <c r="B350">
        <v>349</v>
      </c>
      <c r="C350" s="20">
        <v>123</v>
      </c>
    </row>
    <row r="351" spans="1:3" x14ac:dyDescent="0.3">
      <c r="A351" s="21">
        <v>46007</v>
      </c>
      <c r="B351">
        <v>350</v>
      </c>
      <c r="C351" s="20">
        <v>123</v>
      </c>
    </row>
    <row r="352" spans="1:3" x14ac:dyDescent="0.3">
      <c r="A352" s="21">
        <v>46008</v>
      </c>
      <c r="B352">
        <v>351</v>
      </c>
      <c r="C352" s="20">
        <v>123</v>
      </c>
    </row>
    <row r="353" spans="1:3" x14ac:dyDescent="0.3">
      <c r="A353" s="21">
        <v>46009</v>
      </c>
      <c r="B353">
        <v>352</v>
      </c>
      <c r="C353" s="20">
        <v>124</v>
      </c>
    </row>
    <row r="354" spans="1:3" x14ac:dyDescent="0.3">
      <c r="A354" s="21">
        <v>46010</v>
      </c>
      <c r="B354">
        <v>353</v>
      </c>
      <c r="C354" s="20">
        <v>124</v>
      </c>
    </row>
    <row r="355" spans="1:3" x14ac:dyDescent="0.3">
      <c r="A355" s="21">
        <v>46011</v>
      </c>
      <c r="B355">
        <v>354</v>
      </c>
      <c r="C355" s="20">
        <v>124</v>
      </c>
    </row>
    <row r="356" spans="1:3" x14ac:dyDescent="0.3">
      <c r="A356" s="21">
        <v>46012</v>
      </c>
      <c r="B356">
        <v>355</v>
      </c>
      <c r="C356" s="20">
        <v>124</v>
      </c>
    </row>
    <row r="357" spans="1:3" x14ac:dyDescent="0.3">
      <c r="A357" s="21">
        <v>46013</v>
      </c>
      <c r="B357">
        <v>356</v>
      </c>
      <c r="C357" s="20">
        <v>124</v>
      </c>
    </row>
    <row r="358" spans="1:3" x14ac:dyDescent="0.3">
      <c r="A358" s="21">
        <v>46014</v>
      </c>
      <c r="B358">
        <v>357</v>
      </c>
      <c r="C358" s="20">
        <v>124</v>
      </c>
    </row>
    <row r="359" spans="1:3" x14ac:dyDescent="0.3">
      <c r="A359" s="21">
        <v>46015</v>
      </c>
      <c r="B359">
        <v>358</v>
      </c>
      <c r="C359" s="20">
        <v>124</v>
      </c>
    </row>
    <row r="360" spans="1:3" x14ac:dyDescent="0.3">
      <c r="A360" s="21">
        <v>46016</v>
      </c>
      <c r="B360">
        <v>359</v>
      </c>
      <c r="C360" s="20">
        <v>125</v>
      </c>
    </row>
    <row r="361" spans="1:3" x14ac:dyDescent="0.3">
      <c r="A361" s="21">
        <v>46017</v>
      </c>
      <c r="B361">
        <v>360</v>
      </c>
      <c r="C361" s="20">
        <v>125</v>
      </c>
    </row>
    <row r="362" spans="1:3" x14ac:dyDescent="0.3">
      <c r="A362" s="21">
        <v>46018</v>
      </c>
      <c r="B362">
        <v>361</v>
      </c>
      <c r="C362" s="20">
        <v>125</v>
      </c>
    </row>
    <row r="363" spans="1:3" x14ac:dyDescent="0.3">
      <c r="A363" s="21">
        <v>46019</v>
      </c>
      <c r="B363">
        <v>362</v>
      </c>
      <c r="C363" s="20">
        <v>125</v>
      </c>
    </row>
    <row r="364" spans="1:3" x14ac:dyDescent="0.3">
      <c r="A364" s="21">
        <v>46020</v>
      </c>
      <c r="B364">
        <v>363</v>
      </c>
      <c r="C364" s="20">
        <v>125</v>
      </c>
    </row>
    <row r="365" spans="1:3" x14ac:dyDescent="0.3">
      <c r="A365" s="21">
        <v>46021</v>
      </c>
      <c r="B365">
        <v>364</v>
      </c>
      <c r="C365" s="20">
        <v>125</v>
      </c>
    </row>
    <row r="366" spans="1:3" x14ac:dyDescent="0.3">
      <c r="A366" s="21">
        <v>46022</v>
      </c>
      <c r="B366">
        <v>365</v>
      </c>
      <c r="C366" s="20">
        <v>125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Sproat</vt:lpstr>
      <vt:lpstr>Stamp</vt:lpstr>
      <vt:lpstr> Sproat CN&amp;CO</vt:lpstr>
      <vt:lpstr>Stamp CN&amp;CO</vt:lpstr>
      <vt:lpstr>SW-LU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Graham  Murrell</dc:creator>
  <cp:lastModifiedBy>Pourfaraj, Vahab (DFO/MPO)</cp:lastModifiedBy>
  <dcterms:created xsi:type="dcterms:W3CDTF">2016-06-08T17:29:27Z</dcterms:created>
  <dcterms:modified xsi:type="dcterms:W3CDTF">2025-12-09T17:09:38Z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e6cdb53-fd15-486d-84de-c510e3a62203_Enabled">
    <vt:lpwstr>true</vt:lpwstr>
  </property>
  <property fmtid="{D5CDD505-2E9C-101B-9397-08002B2CF9AE}" pid="3" name="MSIP_Label_4e6cdb53-fd15-486d-84de-c510e3a62203_SetDate">
    <vt:lpwstr>2025-12-03T20:03:49Z</vt:lpwstr>
  </property>
  <property fmtid="{D5CDD505-2E9C-101B-9397-08002B2CF9AE}" pid="4" name="MSIP_Label_4e6cdb53-fd15-486d-84de-c510e3a62203_Method">
    <vt:lpwstr>Standard</vt:lpwstr>
  </property>
  <property fmtid="{D5CDD505-2E9C-101B-9397-08002B2CF9AE}" pid="5" name="MSIP_Label_4e6cdb53-fd15-486d-84de-c510e3a62203_Name">
    <vt:lpwstr>UNCLASSIFIED - NON-CLASSIFIÉ</vt:lpwstr>
  </property>
  <property fmtid="{D5CDD505-2E9C-101B-9397-08002B2CF9AE}" pid="6" name="MSIP_Label_4e6cdb53-fd15-486d-84de-c510e3a62203_SiteId">
    <vt:lpwstr>1594fdae-a1d9-4405-915d-011467234338</vt:lpwstr>
  </property>
  <property fmtid="{D5CDD505-2E9C-101B-9397-08002B2CF9AE}" pid="7" name="MSIP_Label_4e6cdb53-fd15-486d-84de-c510e3a62203_ActionId">
    <vt:lpwstr>47733202-a607-4c58-a1a6-172b6e7038dd</vt:lpwstr>
  </property>
  <property fmtid="{D5CDD505-2E9C-101B-9397-08002B2CF9AE}" pid="8" name="MSIP_Label_4e6cdb53-fd15-486d-84de-c510e3a62203_ContentBits">
    <vt:lpwstr>1</vt:lpwstr>
  </property>
  <property fmtid="{D5CDD505-2E9C-101B-9397-08002B2CF9AE}" pid="9" name="MSIP_Label_4e6cdb53-fd15-486d-84de-c510e3a62203_Tag">
    <vt:lpwstr>10, 3, 0, 1</vt:lpwstr>
  </property>
</Properties>
</file>